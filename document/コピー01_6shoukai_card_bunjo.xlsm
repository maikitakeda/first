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mtakeda.SCIENCE\Desktop\"/>
    </mc:Choice>
  </mc:AlternateContent>
  <bookViews>
    <workbookView xWindow="-15" yWindow="-15" windowWidth="22485" windowHeight="11580" tabRatio="918" activeTab="1"/>
  </bookViews>
  <sheets>
    <sheet name="基本情報（はじめに記入・選択してください）" sheetId="107" r:id="rId1"/>
    <sheet name="ナイス(株)" sheetId="125" r:id="rId2"/>
    <sheet name="テンプレート" sheetId="124" r:id="rId3"/>
    <sheet name="別紙" sheetId="4" r:id="rId4"/>
  </sheets>
  <definedNames>
    <definedName name="_xlnm.Print_Area" localSheetId="2">テンプレート!$A$1:$N$48</definedName>
    <definedName name="_xlnm.Print_Area" localSheetId="1">'ナイス(株)'!$A$1:$N$48</definedName>
  </definedNames>
  <calcPr calcId="152511"/>
</workbook>
</file>

<file path=xl/calcChain.xml><?xml version="1.0" encoding="utf-8"?>
<calcChain xmlns="http://schemas.openxmlformats.org/spreadsheetml/2006/main">
  <c r="O48" i="125" l="1"/>
  <c r="O38" i="125"/>
  <c r="O37" i="125"/>
  <c r="O34" i="125"/>
  <c r="O33" i="125"/>
  <c r="O32" i="125"/>
  <c r="O31" i="125"/>
  <c r="O30" i="125"/>
  <c r="O29" i="125"/>
  <c r="O28" i="125"/>
  <c r="O27" i="125"/>
  <c r="O26" i="125"/>
  <c r="O25" i="125"/>
  <c r="O24" i="125"/>
  <c r="O23" i="125"/>
  <c r="O20" i="125"/>
  <c r="B20" i="125"/>
  <c r="B19" i="125"/>
  <c r="O19" i="125" s="1"/>
  <c r="B18" i="125"/>
  <c r="B17" i="125"/>
  <c r="O16" i="125"/>
  <c r="C16" i="125"/>
  <c r="O15" i="125"/>
  <c r="B15" i="125"/>
  <c r="B14" i="125"/>
  <c r="O14" i="125" s="1"/>
  <c r="O13" i="125"/>
  <c r="B13" i="125"/>
  <c r="O4" i="125"/>
  <c r="F1" i="125" l="1"/>
  <c r="O4" i="124"/>
  <c r="B15" i="124" l="1"/>
  <c r="C16" i="124" l="1"/>
  <c r="O15" i="124" l="1"/>
  <c r="O28" i="124" l="1"/>
  <c r="B20" i="124" l="1"/>
  <c r="B19" i="124"/>
  <c r="B18" i="124"/>
  <c r="B17" i="124"/>
  <c r="B14" i="124"/>
  <c r="B13" i="124"/>
  <c r="O33" i="124" l="1"/>
  <c r="O32" i="124"/>
  <c r="O31" i="124"/>
  <c r="O30" i="124"/>
  <c r="O29" i="124"/>
  <c r="O27" i="124"/>
  <c r="O26" i="124"/>
  <c r="O25" i="124"/>
  <c r="O24" i="124"/>
  <c r="O23" i="124"/>
  <c r="O48" i="124"/>
  <c r="O38" i="124"/>
  <c r="O37" i="124"/>
  <c r="O34" i="124"/>
  <c r="O20" i="124"/>
  <c r="O19" i="124"/>
  <c r="O16" i="124"/>
  <c r="O14" i="124"/>
  <c r="O13" i="124"/>
  <c r="F1" i="124" l="1"/>
</calcChain>
</file>

<file path=xl/sharedStrings.xml><?xml version="1.0" encoding="utf-8"?>
<sst xmlns="http://schemas.openxmlformats.org/spreadsheetml/2006/main" count="443" uniqueCount="166">
  <si>
    <t>氏名</t>
    <rPh sb="0" eb="2">
      <t>シメイ</t>
    </rPh>
    <phoneticPr fontId="2"/>
  </si>
  <si>
    <t>フリガナ</t>
    <phoneticPr fontId="2"/>
  </si>
  <si>
    <t>自宅住所</t>
    <rPh sb="0" eb="2">
      <t>ジタク</t>
    </rPh>
    <rPh sb="2" eb="4">
      <t>ジュウショ</t>
    </rPh>
    <phoneticPr fontId="2"/>
  </si>
  <si>
    <t>その他</t>
    <rPh sb="2" eb="3">
      <t>タ</t>
    </rPh>
    <phoneticPr fontId="2"/>
  </si>
  <si>
    <t>一戸建</t>
    <rPh sb="0" eb="2">
      <t>イッコ</t>
    </rPh>
    <rPh sb="2" eb="3">
      <t>ダ</t>
    </rPh>
    <phoneticPr fontId="2"/>
  </si>
  <si>
    <t>様</t>
    <rPh sb="0" eb="1">
      <t>サマ</t>
    </rPh>
    <phoneticPr fontId="2"/>
  </si>
  <si>
    <t>〒</t>
    <phoneticPr fontId="2"/>
  </si>
  <si>
    <t>紹介カード（分譲・戸建等）</t>
    <rPh sb="0" eb="2">
      <t>ショウカイ</t>
    </rPh>
    <rPh sb="6" eb="8">
      <t>ブンジョウ</t>
    </rPh>
    <rPh sb="9" eb="11">
      <t>コダ</t>
    </rPh>
    <rPh sb="11" eb="12">
      <t>トウ</t>
    </rPh>
    <phoneticPr fontId="2"/>
  </si>
  <si>
    <t>年</t>
    <rPh sb="0" eb="1">
      <t>ネン</t>
    </rPh>
    <phoneticPr fontId="2"/>
  </si>
  <si>
    <t>月</t>
    <rPh sb="0" eb="1">
      <t>ガツ</t>
    </rPh>
    <phoneticPr fontId="2"/>
  </si>
  <si>
    <t>日発行</t>
    <rPh sb="0" eb="1">
      <t>ニチ</t>
    </rPh>
    <rPh sb="1" eb="3">
      <t>ハッコウ</t>
    </rPh>
    <phoneticPr fontId="2"/>
  </si>
  <si>
    <t>御中</t>
    <rPh sb="0" eb="2">
      <t>オンチュウ</t>
    </rPh>
    <phoneticPr fontId="2"/>
  </si>
  <si>
    <t>●</t>
    <phoneticPr fontId="2"/>
  </si>
  <si>
    <t>（別紙）</t>
  </si>
  <si>
    <t>個人情報の取扱いについて</t>
    <phoneticPr fontId="11"/>
  </si>
  <si>
    <t xml:space="preserve">  ｢ＮＴＴデータグループ住宅友の会｣では、「紹介カード」によりお預かりした個人情報を次のとおり使用します。</t>
    <rPh sb="23" eb="25">
      <t>ショウカイ</t>
    </rPh>
    <phoneticPr fontId="11"/>
  </si>
  <si>
    <t>１　利用と提供の範囲</t>
    <phoneticPr fontId="11"/>
  </si>
  <si>
    <t xml:space="preserve">　  紹介カード取次ぎのため、申込内容を指定された提携不動産会社（その提携不動産会社が個人情報を共同利用している場合は共同利用先を含む。）に提供します。
　  申込者の承諾を得ることなく、指定された提携不動産会社以外の第三者（個人情報の取扱いに関する契約を締結した業務委託先を除く。）に個人情報を提供することはありません。　
　  なお、申込者が「ＮＴＴデータグループ住宅友の会」の提携特典を利用して賃貸借契約に至った際には、ＮＴＴデータマネジメントサービス㈱は当該提携不動産会社から成約の報告を受領します。
</t>
    <rPh sb="3" eb="5">
      <t>ショウ</t>
    </rPh>
    <rPh sb="8" eb="10">
      <t>トリツ</t>
    </rPh>
    <rPh sb="48" eb="49">
      <t>トモ</t>
    </rPh>
    <rPh sb="49" eb="50">
      <t>ドウ</t>
    </rPh>
    <rPh sb="50" eb="52">
      <t>リヨウ</t>
    </rPh>
    <rPh sb="200" eb="203">
      <t>チンタイシャク</t>
    </rPh>
    <phoneticPr fontId="11"/>
  </si>
  <si>
    <t>２　個人情報の開示請求等への対応</t>
    <phoneticPr fontId="11"/>
  </si>
  <si>
    <t>　  個人情報についての開示請求・訂正・削除・個人情報の利用停止については、「ＮＴＴデータグループ住宅友の会」 事務局までお問い合わせください。</t>
    <phoneticPr fontId="11"/>
  </si>
  <si>
    <r>
      <t xml:space="preserve"> </t>
    </r>
    <r>
      <rPr>
        <u/>
        <sz val="11"/>
        <rFont val="ＭＳ Ｐゴシック"/>
        <family val="3"/>
        <charset val="128"/>
      </rPr>
      <t>｢ＮＴＴデータグループ住宅友の会｣事務局</t>
    </r>
    <phoneticPr fontId="11"/>
  </si>
  <si>
    <t>　ＮＴＴデータマネジメントサービス㈱</t>
    <phoneticPr fontId="11"/>
  </si>
  <si>
    <t>　人事サービス事業部</t>
    <rPh sb="1" eb="3">
      <t>ジンジ</t>
    </rPh>
    <phoneticPr fontId="11"/>
  </si>
  <si>
    <t>　　TEL 050-5546-8138
　　FAX 03-5546-8139
　　E-mail : tomonokai@nttd-ms.co.jp</t>
    <phoneticPr fontId="11"/>
  </si>
  <si>
    <t>３　個人情報保護方針について</t>
    <phoneticPr fontId="11"/>
  </si>
  <si>
    <t xml:space="preserve">　  グループ福利厚生における個人情報保護方針は所属会社の個人情報保護方針によります。
　  また、申込後、提携不動会社に提供された後の個人情報については、当該提携不動産会社の定める個人情報取扱方針に基づいて利用・管理されます。
　  なお、「ＮＴＴデータグループ住宅友の会」事務局であるＮＴＴデータマネジメントサービス㈱の個人情報保護方針に ついては、次のＵＲＬからご確認いただけます。
</t>
    <phoneticPr fontId="11"/>
  </si>
  <si>
    <t>http://www.nttd-ms.co.jp/company/privacy/index_01.html</t>
    <phoneticPr fontId="11"/>
  </si>
  <si>
    <t>会社使用欄</t>
    <rPh sb="0" eb="2">
      <t>カイシャ</t>
    </rPh>
    <rPh sb="2" eb="4">
      <t>シヨウ</t>
    </rPh>
    <rPh sb="4" eb="5">
      <t>ラン</t>
    </rPh>
    <phoneticPr fontId="2"/>
  </si>
  <si>
    <t>勤務先会社名</t>
    <rPh sb="0" eb="3">
      <t>キンムサキ</t>
    </rPh>
    <rPh sb="3" eb="5">
      <t>カイシャ</t>
    </rPh>
    <rPh sb="5" eb="6">
      <t>メイ</t>
    </rPh>
    <phoneticPr fontId="2"/>
  </si>
  <si>
    <t>メールアドレス</t>
    <phoneticPr fontId="2"/>
  </si>
  <si>
    <t>必要に応じて入力してください。</t>
    <rPh sb="0" eb="2">
      <t>ヒツヨウ</t>
    </rPh>
    <rPh sb="3" eb="4">
      <t>オウ</t>
    </rPh>
    <rPh sb="6" eb="8">
      <t>ニュウリョク</t>
    </rPh>
    <phoneticPr fontId="2"/>
  </si>
  <si>
    <t>買う</t>
    <rPh sb="0" eb="1">
      <t>カ</t>
    </rPh>
    <phoneticPr fontId="2"/>
  </si>
  <si>
    <t>建てる</t>
    <rPh sb="0" eb="1">
      <t>タ</t>
    </rPh>
    <phoneticPr fontId="2"/>
  </si>
  <si>
    <t>リフォーム</t>
    <phoneticPr fontId="2"/>
  </si>
  <si>
    <t>売る</t>
    <rPh sb="0" eb="1">
      <t>ウ</t>
    </rPh>
    <phoneticPr fontId="2"/>
  </si>
  <si>
    <t>新築マンション</t>
    <rPh sb="0" eb="2">
      <t>シンチク</t>
    </rPh>
    <phoneticPr fontId="2"/>
  </si>
  <si>
    <t>中古マンション</t>
    <rPh sb="0" eb="2">
      <t>チュウコ</t>
    </rPh>
    <phoneticPr fontId="2"/>
  </si>
  <si>
    <t>土地のみ</t>
    <rPh sb="0" eb="2">
      <t>トチ</t>
    </rPh>
    <phoneticPr fontId="2"/>
  </si>
  <si>
    <t>新築建売住宅（土地付）</t>
    <rPh sb="0" eb="2">
      <t>シンチク</t>
    </rPh>
    <rPh sb="2" eb="4">
      <t>タテウリ</t>
    </rPh>
    <rPh sb="4" eb="6">
      <t>ジュウタク</t>
    </rPh>
    <rPh sb="7" eb="9">
      <t>トチ</t>
    </rPh>
    <rPh sb="9" eb="10">
      <t>ツキ</t>
    </rPh>
    <phoneticPr fontId="2"/>
  </si>
  <si>
    <t>既に土地取得</t>
    <rPh sb="0" eb="1">
      <t>スデ</t>
    </rPh>
    <rPh sb="2" eb="4">
      <t>トチ</t>
    </rPh>
    <rPh sb="4" eb="6">
      <t>シュトク</t>
    </rPh>
    <phoneticPr fontId="2"/>
  </si>
  <si>
    <t>注文住宅</t>
    <rPh sb="0" eb="2">
      <t>チュウモン</t>
    </rPh>
    <rPh sb="2" eb="4">
      <t>ジュウタク</t>
    </rPh>
    <phoneticPr fontId="2"/>
  </si>
  <si>
    <t>リフォーム（増築含む）</t>
    <rPh sb="6" eb="8">
      <t>ゾウチク</t>
    </rPh>
    <rPh sb="8" eb="9">
      <t>フク</t>
    </rPh>
    <phoneticPr fontId="2"/>
  </si>
  <si>
    <t>マンション</t>
    <phoneticPr fontId="2"/>
  </si>
  <si>
    <t>物件名</t>
    <rPh sb="0" eb="2">
      <t>ブッケン</t>
    </rPh>
    <rPh sb="2" eb="3">
      <t>メイ</t>
    </rPh>
    <phoneticPr fontId="2"/>
  </si>
  <si>
    <t>物件（土地）住所</t>
    <rPh sb="0" eb="2">
      <t>ブッケン</t>
    </rPh>
    <rPh sb="3" eb="5">
      <t>トチ</t>
    </rPh>
    <rPh sb="6" eb="8">
      <t>ジュウショ</t>
    </rPh>
    <phoneticPr fontId="2"/>
  </si>
  <si>
    <t>自分で土地を探す予定</t>
    <rPh sb="0" eb="2">
      <t>ジブン</t>
    </rPh>
    <rPh sb="3" eb="5">
      <t>トチ</t>
    </rPh>
    <rPh sb="6" eb="7">
      <t>サガ</t>
    </rPh>
    <rPh sb="8" eb="10">
      <t>ヨテイ</t>
    </rPh>
    <phoneticPr fontId="2"/>
  </si>
  <si>
    <t>メーカーに土地探しを依頼</t>
    <rPh sb="5" eb="7">
      <t>トチ</t>
    </rPh>
    <rPh sb="7" eb="8">
      <t>サガ</t>
    </rPh>
    <rPh sb="10" eb="12">
      <t>イライ</t>
    </rPh>
    <phoneticPr fontId="2"/>
  </si>
  <si>
    <t>プルダウンから●を選択してください。</t>
    <rPh sb="9" eb="11">
      <t>センタク</t>
    </rPh>
    <phoneticPr fontId="2"/>
  </si>
  <si>
    <t>その他、備考・連絡事項等</t>
    <rPh sb="2" eb="3">
      <t>タ</t>
    </rPh>
    <rPh sb="4" eb="6">
      <t>ビコウ</t>
    </rPh>
    <rPh sb="7" eb="9">
      <t>レンラク</t>
    </rPh>
    <rPh sb="9" eb="11">
      <t>ジコウ</t>
    </rPh>
    <rPh sb="11" eb="12">
      <t>トウ</t>
    </rPh>
    <phoneticPr fontId="2"/>
  </si>
  <si>
    <t>フリガナ</t>
    <phoneticPr fontId="2"/>
  </si>
  <si>
    <t>勤務先会社名</t>
    <rPh sb="0" eb="3">
      <t>キンムサキ</t>
    </rPh>
    <rPh sb="3" eb="6">
      <t>カイシャメイ</t>
    </rPh>
    <phoneticPr fontId="2"/>
  </si>
  <si>
    <t>自宅郵便番号</t>
    <rPh sb="0" eb="2">
      <t>ジタク</t>
    </rPh>
    <rPh sb="2" eb="6">
      <t>ユウビンバンゴウ</t>
    </rPh>
    <phoneticPr fontId="2"/>
  </si>
  <si>
    <t>連絡先電話番号</t>
    <rPh sb="0" eb="2">
      <t>レンラク</t>
    </rPh>
    <rPh sb="2" eb="3">
      <t>サキ</t>
    </rPh>
    <rPh sb="3" eb="5">
      <t>デンワ</t>
    </rPh>
    <rPh sb="5" eb="7">
      <t>バンゴウ</t>
    </rPh>
    <phoneticPr fontId="2"/>
  </si>
  <si>
    <t>連絡先電話番号</t>
    <rPh sb="0" eb="3">
      <t>レンラクサキ</t>
    </rPh>
    <rPh sb="3" eb="5">
      <t>デンワ</t>
    </rPh>
    <rPh sb="5" eb="7">
      <t>バンゴウ</t>
    </rPh>
    <phoneticPr fontId="2"/>
  </si>
  <si>
    <t>メールアドレス</t>
    <phoneticPr fontId="2"/>
  </si>
  <si>
    <t>「その他、備考・連絡事項等」に詳細を記入してください。</t>
    <rPh sb="3" eb="4">
      <t>ホカ</t>
    </rPh>
    <rPh sb="5" eb="7">
      <t>ビコウ</t>
    </rPh>
    <rPh sb="8" eb="10">
      <t>レンラク</t>
    </rPh>
    <rPh sb="10" eb="12">
      <t>ジコウ</t>
    </rPh>
    <rPh sb="12" eb="13">
      <t>トウ</t>
    </rPh>
    <rPh sb="15" eb="17">
      <t>ショウサイ</t>
    </rPh>
    <rPh sb="18" eb="20">
      <t>キニュウ</t>
    </rPh>
    <phoneticPr fontId="2"/>
  </si>
  <si>
    <t>３　「紹介カード発行」ボタンを押下してください。</t>
    <rPh sb="3" eb="5">
      <t>ショウカイ</t>
    </rPh>
    <rPh sb="8" eb="10">
      <t>ハッコウ</t>
    </rPh>
    <rPh sb="15" eb="17">
      <t>オウカ</t>
    </rPh>
    <phoneticPr fontId="2"/>
  </si>
  <si>
    <t>不動産会社名</t>
    <rPh sb="0" eb="3">
      <t>フドウサン</t>
    </rPh>
    <rPh sb="3" eb="5">
      <t>ガイシャ</t>
    </rPh>
    <rPh sb="5" eb="6">
      <t>メイ</t>
    </rPh>
    <phoneticPr fontId="2"/>
  </si>
  <si>
    <t>戸建売却</t>
    <rPh sb="0" eb="2">
      <t>コダ</t>
    </rPh>
    <rPh sb="2" eb="4">
      <t>バイキャク</t>
    </rPh>
    <phoneticPr fontId="2"/>
  </si>
  <si>
    <t>マンション売却</t>
    <rPh sb="5" eb="7">
      <t>バイキャク</t>
    </rPh>
    <phoneticPr fontId="2"/>
  </si>
  <si>
    <t>土地売却</t>
    <rPh sb="0" eb="2">
      <t>トチ</t>
    </rPh>
    <rPh sb="2" eb="4">
      <t>バイキャク</t>
    </rPh>
    <phoneticPr fontId="2"/>
  </si>
  <si>
    <t>旭化成ホームズ㈱</t>
    <rPh sb="0" eb="1">
      <t>アサヒ</t>
    </rPh>
    <rPh sb="1" eb="3">
      <t>カセイ</t>
    </rPh>
    <phoneticPr fontId="1"/>
  </si>
  <si>
    <t>●</t>
  </si>
  <si>
    <t>旭化成不動産レジデンス㈱</t>
    <rPh sb="3" eb="5">
      <t>フドウ</t>
    </rPh>
    <rPh sb="5" eb="6">
      <t>サン</t>
    </rPh>
    <phoneticPr fontId="1"/>
  </si>
  <si>
    <t>㈱木下工務店</t>
    <rPh sb="1" eb="3">
      <t>キノシタ</t>
    </rPh>
    <rPh sb="3" eb="6">
      <t>コウムテン</t>
    </rPh>
    <phoneticPr fontId="1"/>
  </si>
  <si>
    <t>共立建設</t>
    <rPh sb="0" eb="2">
      <t>キョウリツ</t>
    </rPh>
    <rPh sb="2" eb="4">
      <t>ケンセツ</t>
    </rPh>
    <phoneticPr fontId="1"/>
  </si>
  <si>
    <t>サンヨーホームズ㈱</t>
  </si>
  <si>
    <t>大林新星和不動産㈱</t>
    <rPh sb="0" eb="2">
      <t>オオバヤシ</t>
    </rPh>
    <rPh sb="2" eb="5">
      <t>シンセイワ</t>
    </rPh>
    <rPh sb="5" eb="8">
      <t>フドウサン</t>
    </rPh>
    <phoneticPr fontId="1"/>
  </si>
  <si>
    <t>スターツピタットハウス㈱</t>
  </si>
  <si>
    <t>三井住友トラスト不動産㈱</t>
    <rPh sb="0" eb="2">
      <t>ミツイ</t>
    </rPh>
    <rPh sb="2" eb="4">
      <t>スミトモ</t>
    </rPh>
    <rPh sb="8" eb="11">
      <t>フドウサン</t>
    </rPh>
    <phoneticPr fontId="1"/>
  </si>
  <si>
    <t>積水化学工業㈱
（セキスイハイム）</t>
    <rPh sb="0" eb="2">
      <t>セキスイ</t>
    </rPh>
    <rPh sb="2" eb="4">
      <t>カガク</t>
    </rPh>
    <rPh sb="4" eb="6">
      <t>コウギョウ</t>
    </rPh>
    <phoneticPr fontId="1"/>
  </si>
  <si>
    <t>積水ハウス㈱</t>
    <rPh sb="0" eb="2">
      <t>セキスイ</t>
    </rPh>
    <phoneticPr fontId="1"/>
  </si>
  <si>
    <t>㈱大京</t>
    <rPh sb="1" eb="2">
      <t>ダイ</t>
    </rPh>
    <rPh sb="2" eb="3">
      <t>キョウ</t>
    </rPh>
    <phoneticPr fontId="1"/>
  </si>
  <si>
    <t>大和ハウス工業 ㈱</t>
    <rPh sb="0" eb="2">
      <t>ダイワ</t>
    </rPh>
    <rPh sb="5" eb="7">
      <t>コウギョウ</t>
    </rPh>
    <phoneticPr fontId="1"/>
  </si>
  <si>
    <t>東急リバブル ㈱</t>
    <rPh sb="0" eb="2">
      <t>トウキュウ</t>
    </rPh>
    <phoneticPr fontId="1"/>
  </si>
  <si>
    <t>東急リバブル東北　㈱</t>
    <rPh sb="0" eb="2">
      <t>トウキュウ</t>
    </rPh>
    <rPh sb="6" eb="8">
      <t>トウホク</t>
    </rPh>
    <phoneticPr fontId="1"/>
  </si>
  <si>
    <t>東京建物不動産販売 ㈱</t>
    <rPh sb="0" eb="2">
      <t>トウキョウ</t>
    </rPh>
    <rPh sb="2" eb="4">
      <t>タテモノ</t>
    </rPh>
    <rPh sb="4" eb="7">
      <t>フドウサン</t>
    </rPh>
    <rPh sb="7" eb="9">
      <t>ハンバイ</t>
    </rPh>
    <phoneticPr fontId="1"/>
  </si>
  <si>
    <t>三菱地所レジデンス㈱</t>
    <rPh sb="0" eb="2">
      <t>ミツビシ</t>
    </rPh>
    <rPh sb="2" eb="4">
      <t>ジショ</t>
    </rPh>
    <phoneticPr fontId="1"/>
  </si>
  <si>
    <t>パナホーム㈱</t>
  </si>
  <si>
    <t>野村不動産 ㈱</t>
    <rPh sb="0" eb="2">
      <t>ノムラ</t>
    </rPh>
    <rPh sb="2" eb="5">
      <t>フドウサン</t>
    </rPh>
    <phoneticPr fontId="1"/>
  </si>
  <si>
    <t>㈱細田工務店</t>
    <rPh sb="1" eb="3">
      <t>ホソダ</t>
    </rPh>
    <rPh sb="3" eb="6">
      <t>コウムテン</t>
    </rPh>
    <phoneticPr fontId="1"/>
  </si>
  <si>
    <t>三井不動産リアルティ㈱（三井のリハウス）</t>
    <rPh sb="0" eb="2">
      <t>ミツイ</t>
    </rPh>
    <rPh sb="2" eb="5">
      <t>フドウサン</t>
    </rPh>
    <phoneticPr fontId="1"/>
  </si>
  <si>
    <t>三井不動産レジデンシャル㈱</t>
    <rPh sb="0" eb="2">
      <t>ミツイ</t>
    </rPh>
    <rPh sb="2" eb="5">
      <t>フドウサン</t>
    </rPh>
    <phoneticPr fontId="1"/>
  </si>
  <si>
    <t>三井ホーム㈱</t>
    <rPh sb="0" eb="2">
      <t>ミツイ</t>
    </rPh>
    <phoneticPr fontId="1"/>
  </si>
  <si>
    <t>三井不動産リフォーム㈱</t>
  </si>
  <si>
    <t>相鉄不動産販売㈱</t>
    <rPh sb="0" eb="2">
      <t>ソウテツ</t>
    </rPh>
    <rPh sb="2" eb="5">
      <t>フドウサン</t>
    </rPh>
    <rPh sb="5" eb="7">
      <t>ハンバイ</t>
    </rPh>
    <phoneticPr fontId="1"/>
  </si>
  <si>
    <t>㈱長谷工コーポレーション</t>
    <rPh sb="1" eb="4">
      <t>ハセコウ</t>
    </rPh>
    <phoneticPr fontId="1"/>
  </si>
  <si>
    <t>明和地所㈱</t>
    <rPh sb="0" eb="2">
      <t>メイワ</t>
    </rPh>
    <rPh sb="2" eb="4">
      <t>ジショ</t>
    </rPh>
    <phoneticPr fontId="1"/>
  </si>
  <si>
    <t>㈱タカラレーベン</t>
  </si>
  <si>
    <t>自宅住所（建物名・号室）</t>
    <rPh sb="0" eb="2">
      <t>ジタク</t>
    </rPh>
    <rPh sb="2" eb="4">
      <t>ジュウショ</t>
    </rPh>
    <rPh sb="5" eb="7">
      <t>タテモノ</t>
    </rPh>
    <rPh sb="7" eb="8">
      <t>メイ</t>
    </rPh>
    <rPh sb="9" eb="11">
      <t>ゴウシツ</t>
    </rPh>
    <phoneticPr fontId="2"/>
  </si>
  <si>
    <t>２　紹介カード発行を希望する不動産会社を、以下から全て選択してください。</t>
    <rPh sb="2" eb="4">
      <t>ショウカイ</t>
    </rPh>
    <rPh sb="7" eb="9">
      <t>ハッコウ</t>
    </rPh>
    <rPh sb="10" eb="12">
      <t>キボウ</t>
    </rPh>
    <rPh sb="14" eb="17">
      <t>フドウサン</t>
    </rPh>
    <rPh sb="17" eb="19">
      <t>ガイシャ</t>
    </rPh>
    <rPh sb="21" eb="23">
      <t>イカ</t>
    </rPh>
    <rPh sb="25" eb="26">
      <t>スベ</t>
    </rPh>
    <rPh sb="27" eb="29">
      <t>センタク</t>
    </rPh>
    <phoneticPr fontId="2"/>
  </si>
  <si>
    <t>大成有楽不動産㈱</t>
  </si>
  <si>
    <t>自宅アドレス可</t>
    <rPh sb="0" eb="2">
      <t>ジタク</t>
    </rPh>
    <rPh sb="6" eb="7">
      <t>カ</t>
    </rPh>
    <phoneticPr fontId="2"/>
  </si>
  <si>
    <t>現在戸建に居住している方は記入不要</t>
    <rPh sb="11" eb="12">
      <t>カタ</t>
    </rPh>
    <rPh sb="13" eb="15">
      <t>キニュウ</t>
    </rPh>
    <rPh sb="15" eb="17">
      <t>フヨウ</t>
    </rPh>
    <phoneticPr fontId="2"/>
  </si>
  <si>
    <t>出向社員の方は出向元会社を記入</t>
    <rPh sb="0" eb="2">
      <t>シュッコウ</t>
    </rPh>
    <rPh sb="2" eb="4">
      <t>シャイン</t>
    </rPh>
    <rPh sb="5" eb="6">
      <t>カタ</t>
    </rPh>
    <rPh sb="7" eb="9">
      <t>シュッコウ</t>
    </rPh>
    <rPh sb="9" eb="10">
      <t>モト</t>
    </rPh>
    <rPh sb="10" eb="12">
      <t>カイシャ</t>
    </rPh>
    <rPh sb="13" eb="15">
      <t>キニュウ</t>
    </rPh>
    <phoneticPr fontId="2"/>
  </si>
  <si>
    <t>１　以下の項目を全て記入してください。</t>
    <rPh sb="2" eb="4">
      <t>イカ</t>
    </rPh>
    <rPh sb="5" eb="7">
      <t>コウモク</t>
    </rPh>
    <rPh sb="8" eb="9">
      <t>スベ</t>
    </rPh>
    <rPh sb="10" eb="12">
      <t>キニュウ</t>
    </rPh>
    <phoneticPr fontId="2"/>
  </si>
  <si>
    <t>職場性と戸籍性が異なる場合は、「戸籍性（職場性）」で記入</t>
    <rPh sb="0" eb="2">
      <t>ショクバ</t>
    </rPh>
    <rPh sb="2" eb="3">
      <t>セイ</t>
    </rPh>
    <rPh sb="4" eb="6">
      <t>コセキ</t>
    </rPh>
    <rPh sb="6" eb="7">
      <t>セイ</t>
    </rPh>
    <rPh sb="8" eb="9">
      <t>コト</t>
    </rPh>
    <rPh sb="11" eb="13">
      <t>バアイ</t>
    </rPh>
    <rPh sb="16" eb="18">
      <t>コセキ</t>
    </rPh>
    <rPh sb="18" eb="19">
      <t>セイ</t>
    </rPh>
    <rPh sb="20" eb="22">
      <t>ショクバ</t>
    </rPh>
    <rPh sb="22" eb="23">
      <t>セイ</t>
    </rPh>
    <rPh sb="26" eb="28">
      <t>キニュウ</t>
    </rPh>
    <phoneticPr fontId="2"/>
  </si>
  <si>
    <t>新築
マンション</t>
    <rPh sb="0" eb="2">
      <t>シンチク</t>
    </rPh>
    <phoneticPr fontId="2"/>
  </si>
  <si>
    <t>中古
マンション</t>
    <rPh sb="0" eb="2">
      <t>チュウコ</t>
    </rPh>
    <phoneticPr fontId="2"/>
  </si>
  <si>
    <t>新築
建売住宅</t>
    <rPh sb="0" eb="2">
      <t>シンチク</t>
    </rPh>
    <rPh sb="3" eb="5">
      <t>タテウリ</t>
    </rPh>
    <rPh sb="5" eb="7">
      <t>ジュウタク</t>
    </rPh>
    <phoneticPr fontId="2"/>
  </si>
  <si>
    <t>※上記●は参考となります。</t>
    <rPh sb="1" eb="3">
      <t>ジョウキ</t>
    </rPh>
    <rPh sb="5" eb="7">
      <t>サンコウ</t>
    </rPh>
    <phoneticPr fontId="2"/>
  </si>
  <si>
    <t>※物件によっては割引条件の異なる場合や割引対象外の場合があります。 詳細については、事務局もしくは不動産会社の担当者までお問い合わせください。（例：不動産会社が施工主となる場合は割引対象外）</t>
    <rPh sb="49" eb="52">
      <t>フドウサン</t>
    </rPh>
    <rPh sb="52" eb="54">
      <t>ガイシャ</t>
    </rPh>
    <rPh sb="55" eb="58">
      <t>タントウシャ</t>
    </rPh>
    <rPh sb="61" eb="62">
      <t>ト</t>
    </rPh>
    <rPh sb="63" eb="64">
      <t>ア</t>
    </rPh>
    <rPh sb="72" eb="73">
      <t>レイ</t>
    </rPh>
    <rPh sb="74" eb="77">
      <t>フドウサン</t>
    </rPh>
    <rPh sb="77" eb="79">
      <t>ガイシャ</t>
    </rPh>
    <rPh sb="80" eb="83">
      <t>セコウヌシ</t>
    </rPh>
    <rPh sb="86" eb="88">
      <t>バアイ</t>
    </rPh>
    <rPh sb="89" eb="91">
      <t>ワリビキ</t>
    </rPh>
    <rPh sb="91" eb="94">
      <t>タイショウガイ</t>
    </rPh>
    <phoneticPr fontId="2"/>
  </si>
  <si>
    <t>４　別シート（青色）にフォーマットが作成されますので、必要事項を記入してください。</t>
    <rPh sb="2" eb="3">
      <t>ベツ</t>
    </rPh>
    <rPh sb="7" eb="9">
      <t>アオイロ</t>
    </rPh>
    <rPh sb="18" eb="20">
      <t>サクセイ</t>
    </rPh>
    <rPh sb="27" eb="29">
      <t>ヒツヨウ</t>
    </rPh>
    <rPh sb="29" eb="31">
      <t>ジコウ</t>
    </rPh>
    <rPh sb="32" eb="34">
      <t>キニュウ</t>
    </rPh>
    <phoneticPr fontId="2"/>
  </si>
  <si>
    <t>東急ホームズ㈱</t>
    <rPh sb="0" eb="2">
      <t>トウキュウ</t>
    </rPh>
    <phoneticPr fontId="1"/>
  </si>
  <si>
    <r>
      <t xml:space="preserve">※「紹介カード」については、｢個人情報の取扱いについて｣（別紙）を確認し、｢１ 利用と提供の範囲」に同意いただいた上で
お申し込みください。（申込みをもって同意の確認とします。）
</t>
    </r>
    <r>
      <rPr>
        <b/>
        <sz val="10"/>
        <color rgb="FFFF0000"/>
        <rFont val="ＭＳ Ｐゴシック"/>
        <family val="3"/>
        <charset val="128"/>
        <scheme val="minor"/>
      </rPr>
      <t>※紹介カードを他人へ渡すことを固く禁じます。</t>
    </r>
    <rPh sb="91" eb="93">
      <t>ショウカイ</t>
    </rPh>
    <rPh sb="97" eb="99">
      <t>タニン</t>
    </rPh>
    <rPh sb="100" eb="101">
      <t>ワタ</t>
    </rPh>
    <rPh sb="105" eb="106">
      <t>カタ</t>
    </rPh>
    <rPh sb="107" eb="108">
      <t>キン</t>
    </rPh>
    <phoneticPr fontId="2"/>
  </si>
  <si>
    <t>私は本サービスの利用対象者であるため、紹介カード発行を希望します。</t>
    <rPh sb="0" eb="1">
      <t>ワタシ</t>
    </rPh>
    <rPh sb="2" eb="3">
      <t>ホン</t>
    </rPh>
    <rPh sb="8" eb="10">
      <t>リヨウ</t>
    </rPh>
    <rPh sb="10" eb="13">
      <t>タイショウシャ</t>
    </rPh>
    <rPh sb="19" eb="21">
      <t>ショウカイ</t>
    </rPh>
    <rPh sb="24" eb="26">
      <t>ハッコウ</t>
    </rPh>
    <rPh sb="27" eb="29">
      <t>キボウ</t>
    </rPh>
    <phoneticPr fontId="2"/>
  </si>
  <si>
    <t>　　　←必ずチェックしてください。</t>
    <rPh sb="4" eb="5">
      <t>カナラ</t>
    </rPh>
    <phoneticPr fontId="2"/>
  </si>
  <si>
    <t>次の方をＮＴＴデータグループ会社の利用対象者として紹介します。</t>
    <rPh sb="17" eb="19">
      <t>リヨウ</t>
    </rPh>
    <rPh sb="19" eb="22">
      <t>タイショウシャ</t>
    </rPh>
    <phoneticPr fontId="2"/>
  </si>
  <si>
    <t>利用対象者</t>
    <rPh sb="0" eb="2">
      <t>リヨウ</t>
    </rPh>
    <rPh sb="2" eb="5">
      <t>タイショウシャ</t>
    </rPh>
    <phoneticPr fontId="2"/>
  </si>
  <si>
    <t>※利用対象者の定義が不動産会社によって異なります。詳細は、事務局までお問い合わせください。</t>
    <rPh sb="1" eb="3">
      <t>リヨウ</t>
    </rPh>
    <rPh sb="3" eb="6">
      <t>タイショウシャ</t>
    </rPh>
    <rPh sb="7" eb="9">
      <t>テイギ</t>
    </rPh>
    <rPh sb="10" eb="13">
      <t>フドウサン</t>
    </rPh>
    <rPh sb="13" eb="15">
      <t>ガイシャ</t>
    </rPh>
    <rPh sb="19" eb="20">
      <t>コト</t>
    </rPh>
    <rPh sb="25" eb="27">
      <t>ショウサイ</t>
    </rPh>
    <rPh sb="29" eb="32">
      <t>ジムキョク</t>
    </rPh>
    <rPh sb="35" eb="36">
      <t>ト</t>
    </rPh>
    <rPh sb="37" eb="38">
      <t>ア</t>
    </rPh>
    <phoneticPr fontId="2"/>
  </si>
  <si>
    <t>社員、社員の家族</t>
    <rPh sb="0" eb="2">
      <t>シャイン</t>
    </rPh>
    <rPh sb="3" eb="5">
      <t>シャイン</t>
    </rPh>
    <rPh sb="6" eb="8">
      <t>カゾク</t>
    </rPh>
    <phoneticPr fontId="2"/>
  </si>
  <si>
    <t>役員、社員</t>
    <rPh sb="0" eb="2">
      <t>ヤクイン</t>
    </rPh>
    <rPh sb="3" eb="5">
      <t>シャイン</t>
    </rPh>
    <phoneticPr fontId="2"/>
  </si>
  <si>
    <t>社員</t>
    <rPh sb="0" eb="2">
      <t>シャイン</t>
    </rPh>
    <phoneticPr fontId="2"/>
  </si>
  <si>
    <t>社員、退職者</t>
    <rPh sb="0" eb="2">
      <t>シャイン</t>
    </rPh>
    <rPh sb="3" eb="5">
      <t>タイショク</t>
    </rPh>
    <rPh sb="5" eb="6">
      <t>シャ</t>
    </rPh>
    <phoneticPr fontId="2"/>
  </si>
  <si>
    <t>従業員、内定者、第一親等親族</t>
    <rPh sb="0" eb="3">
      <t>ジュウギョウイン</t>
    </rPh>
    <rPh sb="4" eb="7">
      <t>ナイテイシャ</t>
    </rPh>
    <rPh sb="8" eb="10">
      <t>ダイイチ</t>
    </rPh>
    <rPh sb="10" eb="12">
      <t>シントウ</t>
    </rPh>
    <rPh sb="12" eb="14">
      <t>シンゾク</t>
    </rPh>
    <phoneticPr fontId="2"/>
  </si>
  <si>
    <t>従業員</t>
    <rPh sb="0" eb="3">
      <t>ジュウギョウイン</t>
    </rPh>
    <phoneticPr fontId="2"/>
  </si>
  <si>
    <t>従業員、退職者</t>
    <rPh sb="0" eb="3">
      <t>ジュウギョウイン</t>
    </rPh>
    <rPh sb="4" eb="6">
      <t>タイショク</t>
    </rPh>
    <rPh sb="6" eb="7">
      <t>シャ</t>
    </rPh>
    <phoneticPr fontId="2"/>
  </si>
  <si>
    <t>役員、従業員</t>
    <rPh sb="0" eb="2">
      <t>ヤクイン</t>
    </rPh>
    <rPh sb="3" eb="6">
      <t>ジュウギョウイン</t>
    </rPh>
    <phoneticPr fontId="2"/>
  </si>
  <si>
    <t>社員、家族、退職者</t>
    <rPh sb="0" eb="2">
      <t>シャイン</t>
    </rPh>
    <rPh sb="3" eb="5">
      <t>カゾク</t>
    </rPh>
    <rPh sb="6" eb="8">
      <t>タイショク</t>
    </rPh>
    <rPh sb="8" eb="9">
      <t>シャ</t>
    </rPh>
    <phoneticPr fontId="2"/>
  </si>
  <si>
    <t>社員、家族</t>
    <rPh sb="0" eb="2">
      <t>シャイン</t>
    </rPh>
    <rPh sb="3" eb="5">
      <t>カゾク</t>
    </rPh>
    <phoneticPr fontId="2"/>
  </si>
  <si>
    <t>※上段に表示される「コンテンツの有効化」より「信頼済みドキュメント」に設定した後、ボタンの押下をお願いいたします。</t>
    <rPh sb="1" eb="3">
      <t>ジョウダン</t>
    </rPh>
    <rPh sb="4" eb="6">
      <t>ヒョウジ</t>
    </rPh>
    <rPh sb="16" eb="19">
      <t>ユウコウカ</t>
    </rPh>
    <rPh sb="23" eb="25">
      <t>シンライ</t>
    </rPh>
    <rPh sb="25" eb="26">
      <t>ズ</t>
    </rPh>
    <rPh sb="35" eb="37">
      <t>セッテイ</t>
    </rPh>
    <rPh sb="39" eb="40">
      <t>ノチ</t>
    </rPh>
    <rPh sb="45" eb="47">
      <t>オウカ</t>
    </rPh>
    <rPh sb="49" eb="50">
      <t>ネガ</t>
    </rPh>
    <phoneticPr fontId="2"/>
  </si>
  <si>
    <t>※他人への譲渡を固く禁じます。</t>
    <rPh sb="1" eb="3">
      <t>タニン</t>
    </rPh>
    <rPh sb="5" eb="7">
      <t>ジョウト</t>
    </rPh>
    <rPh sb="8" eb="9">
      <t>カタ</t>
    </rPh>
    <rPh sb="10" eb="11">
      <t>キン</t>
    </rPh>
    <phoneticPr fontId="2"/>
  </si>
  <si>
    <t>●●●-●●●●の形式で入力</t>
    <rPh sb="9" eb="11">
      <t>ケイシキ</t>
    </rPh>
    <rPh sb="12" eb="14">
      <t>ニュウリョク</t>
    </rPh>
    <phoneticPr fontId="2"/>
  </si>
  <si>
    <t>役員、社員、契約社員</t>
    <phoneticPr fontId="2"/>
  </si>
  <si>
    <t>役員、社員、契約社員、第１親等親族</t>
    <phoneticPr fontId="2"/>
  </si>
  <si>
    <t>㈱アキュラホーム</t>
  </si>
  <si>
    <t>㈱一条工務店</t>
    <rPh sb="1" eb="3">
      <t>イチジョウ</t>
    </rPh>
    <rPh sb="3" eb="6">
      <t>コウムテン</t>
    </rPh>
    <phoneticPr fontId="1"/>
  </si>
  <si>
    <t>㈱エフ・ジェー・ネクスト</t>
  </si>
  <si>
    <t>㈱コスモスイニシア</t>
  </si>
  <si>
    <t>セコムホームライフ㈱</t>
  </si>
  <si>
    <t>東急ライフィア㈱</t>
    <rPh sb="0" eb="2">
      <t>トウキュウ</t>
    </rPh>
    <phoneticPr fontId="1"/>
  </si>
  <si>
    <t>㈱桧家ホールディングス</t>
    <rPh sb="1" eb="2">
      <t>ヒノキ</t>
    </rPh>
    <rPh sb="2" eb="3">
      <t>イエ</t>
    </rPh>
    <phoneticPr fontId="1"/>
  </si>
  <si>
    <t>㈱ユニバーサルホーム</t>
  </si>
  <si>
    <t>野村不動産アーバンネット㈱</t>
    <rPh sb="0" eb="2">
      <t>ノムラ</t>
    </rPh>
    <rPh sb="2" eb="5">
      <t>フドウサン</t>
    </rPh>
    <phoneticPr fontId="2"/>
  </si>
  <si>
    <t>役員、社員、契約社員</t>
    <phoneticPr fontId="2"/>
  </si>
  <si>
    <t>㈱ユニバーサルホーム</t>
    <phoneticPr fontId="2"/>
  </si>
  <si>
    <t>ナイス㈱</t>
  </si>
  <si>
    <t>役員、社員、契約社員</t>
    <phoneticPr fontId="2"/>
  </si>
  <si>
    <t>役員、社員、退職者</t>
    <rPh sb="0" eb="2">
      <t>ヤクイン</t>
    </rPh>
    <rPh sb="3" eb="5">
      <t>シャイン</t>
    </rPh>
    <rPh sb="6" eb="8">
      <t>タイショク</t>
    </rPh>
    <rPh sb="8" eb="9">
      <t>シャ</t>
    </rPh>
    <phoneticPr fontId="2"/>
  </si>
  <si>
    <t>東京建物 ㈱</t>
    <rPh sb="0" eb="2">
      <t>トウキョウ</t>
    </rPh>
    <rPh sb="2" eb="4">
      <t>タテモノ</t>
    </rPh>
    <phoneticPr fontId="1"/>
  </si>
  <si>
    <t>●</t>
    <phoneticPr fontId="2"/>
  </si>
  <si>
    <t>役員、社員、契約社員</t>
    <rPh sb="0" eb="2">
      <t>ヤクイン</t>
    </rPh>
    <rPh sb="3" eb="5">
      <t>シャイン</t>
    </rPh>
    <rPh sb="6" eb="8">
      <t>ケイヤク</t>
    </rPh>
    <rPh sb="8" eb="10">
      <t>シャイン</t>
    </rPh>
    <phoneticPr fontId="2"/>
  </si>
  <si>
    <t>大成建設ハウジング ㈱</t>
    <rPh sb="0" eb="2">
      <t>タイセイ</t>
    </rPh>
    <rPh sb="2" eb="4">
      <t>ケンセツ</t>
    </rPh>
    <phoneticPr fontId="2"/>
  </si>
  <si>
    <t>●</t>
    <phoneticPr fontId="2"/>
  </si>
  <si>
    <t>ミサワホーム㈱</t>
    <phoneticPr fontId="1"/>
  </si>
  <si>
    <t>ミサワホーム㈱</t>
    <phoneticPr fontId="1"/>
  </si>
  <si>
    <t>●</t>
    <phoneticPr fontId="2"/>
  </si>
  <si>
    <t>●</t>
    <phoneticPr fontId="2"/>
  </si>
  <si>
    <t>●</t>
    <phoneticPr fontId="2"/>
  </si>
  <si>
    <t>中古戸建</t>
    <rPh sb="0" eb="2">
      <t>チュウコ</t>
    </rPh>
    <rPh sb="2" eb="4">
      <t>コダテ</t>
    </rPh>
    <phoneticPr fontId="2"/>
  </si>
  <si>
    <t>中古戸建（土地付）</t>
    <rPh sb="0" eb="2">
      <t>チュウコ</t>
    </rPh>
    <rPh sb="2" eb="4">
      <t>コダテ</t>
    </rPh>
    <rPh sb="5" eb="7">
      <t>トチ</t>
    </rPh>
    <rPh sb="7" eb="8">
      <t>ツキ</t>
    </rPh>
    <phoneticPr fontId="2"/>
  </si>
  <si>
    <t>2017.01.16現在</t>
    <rPh sb="10" eb="12">
      <t>ゲンザイ</t>
    </rPh>
    <phoneticPr fontId="2"/>
  </si>
  <si>
    <t>㈱日本エスコン</t>
    <rPh sb="1" eb="3">
      <t>ニホン</t>
    </rPh>
    <phoneticPr fontId="1"/>
  </si>
  <si>
    <t>役員、従業員、第一親等親族</t>
    <rPh sb="0" eb="2">
      <t>ヤクイン</t>
    </rPh>
    <rPh sb="3" eb="6">
      <t>ジュウギョウイン</t>
    </rPh>
    <rPh sb="7" eb="9">
      <t>ダイイチ</t>
    </rPh>
    <rPh sb="9" eb="11">
      <t>シントウ</t>
    </rPh>
    <rPh sb="11" eb="13">
      <t>シンゾク</t>
    </rPh>
    <phoneticPr fontId="2"/>
  </si>
  <si>
    <t>㈱日本エスコン</t>
    <rPh sb="1" eb="3">
      <t>ニホン</t>
    </rPh>
    <phoneticPr fontId="2"/>
  </si>
  <si>
    <t>タケダマイキ</t>
    <phoneticPr fontId="2"/>
  </si>
  <si>
    <t>武田真行</t>
    <rPh sb="0" eb="2">
      <t>タケダ</t>
    </rPh>
    <rPh sb="2" eb="3">
      <t>シン</t>
    </rPh>
    <rPh sb="3" eb="4">
      <t>イ</t>
    </rPh>
    <phoneticPr fontId="2"/>
  </si>
  <si>
    <t>NTTデータCCS</t>
    <phoneticPr fontId="2"/>
  </si>
  <si>
    <t>221-0041</t>
    <phoneticPr fontId="2"/>
  </si>
  <si>
    <t>横浜市神奈川区亀住町８－４</t>
    <rPh sb="0" eb="3">
      <t>ヨコハマシ</t>
    </rPh>
    <rPh sb="3" eb="7">
      <t>カナガワク</t>
    </rPh>
    <rPh sb="7" eb="10">
      <t>カメズミチョウ</t>
    </rPh>
    <phoneticPr fontId="2"/>
  </si>
  <si>
    <t>ラ・フェリーチェ神奈川新町１０１</t>
    <rPh sb="8" eb="13">
      <t>カナガワシンマチ</t>
    </rPh>
    <phoneticPr fontId="2"/>
  </si>
  <si>
    <t>080-6020-7185</t>
    <phoneticPr fontId="2"/>
  </si>
  <si>
    <t>mt16elle@gmail.com</t>
    <phoneticPr fontId="2"/>
  </si>
  <si>
    <t>ナイス(株)</t>
  </si>
  <si>
    <t>ナイスパワーホーム原宿３丁目</t>
    <rPh sb="9" eb="11">
      <t>ハラジュク</t>
    </rPh>
    <rPh sb="12" eb="14">
      <t>チョウメ</t>
    </rPh>
    <phoneticPr fontId="2"/>
  </si>
  <si>
    <t>横浜市戸塚区原宿３丁目４１－６</t>
    <rPh sb="0" eb="3">
      <t>ヨコハマシ</t>
    </rPh>
    <rPh sb="3" eb="6">
      <t>トツカク</t>
    </rPh>
    <rPh sb="6" eb="8">
      <t>ハラジュク</t>
    </rPh>
    <rPh sb="9" eb="11">
      <t>チョウメ</t>
    </rPh>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</si>
</sst>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fonts count="23">
    <font>
      <sz val="11"/>
      <color theme="1"/>
      <name val="ＭＳ Ｐゴシック"/>
      <family val="2"/>
      <charset val="128"/>
      <scheme val="minor"/>
    </font>
    <font>
      <b/>
      <sz val="18"/>
      <color theme="3"/>
      <name val="ＭＳ Ｐゴシック"/>
      <family val="2"/>
      <charset val="128"/>
      <scheme val="major"/>
    </font>
    <font>
      <sz val="6"/>
      <name val="ＭＳ Ｐゴシック"/>
      <family val="2"/>
      <charset val="128"/>
      <scheme val="minor"/>
    </font>
    <font>
      <sz val="20"/>
      <color theme="1"/>
      <name val="ＭＳ Ｐゴシック"/>
      <family val="2"/>
      <charset val="128"/>
      <scheme val="minor"/>
    </font>
    <font>
      <sz val="20"/>
      <color theme="1"/>
      <name val="ＭＳ Ｐゴシック"/>
      <family val="3"/>
      <charset val="128"/>
      <scheme val="minor"/>
    </font>
    <font>
      <sz val="18"/>
      <color theme="1"/>
      <name val="ＭＳ Ｐゴシック"/>
      <family val="2"/>
      <charset val="128"/>
      <scheme val="minor"/>
    </font>
    <font>
      <b/>
      <sz val="11"/>
      <color theme="1"/>
      <name val="ＭＳ Ｐゴシック"/>
      <family val="3"/>
      <charset val="128"/>
      <scheme val="minor"/>
    </font>
    <font>
      <b/>
      <sz val="11"/>
      <color rgb="FFFF0000"/>
      <name val="ＭＳ Ｐゴシック"/>
      <family val="3"/>
      <charset val="128"/>
      <scheme val="minor"/>
    </font>
    <font>
      <sz val="11"/>
      <name val="ＭＳ Ｐゴシック"/>
      <family val="3"/>
      <charset val="128"/>
    </font>
    <font>
      <sz val="10.5"/>
      <name val="ＭＳ ゴシック"/>
      <family val="3"/>
      <charset val="128"/>
    </font>
    <font>
      <sz val="12"/>
      <name val="ＭＳ Ｐゴシック"/>
      <family val="3"/>
      <charset val="128"/>
    </font>
    <font>
      <sz val="6"/>
      <name val="ＭＳ Ｐゴシック"/>
      <family val="3"/>
      <charset val="128"/>
    </font>
    <font>
      <u/>
      <sz val="11"/>
      <name val="ＭＳ Ｐゴシック"/>
      <family val="3"/>
      <charset val="128"/>
    </font>
    <font>
      <u/>
      <sz val="11"/>
      <color indexed="12"/>
      <name val="ＭＳ Ｐゴシック"/>
      <family val="3"/>
      <charset val="128"/>
    </font>
    <font>
      <sz val="10"/>
      <color theme="1"/>
      <name val="ＭＳ Ｐゴシック"/>
      <family val="2"/>
      <charset val="128"/>
      <scheme val="minor"/>
    </font>
    <font>
      <sz val="10"/>
      <color theme="1"/>
      <name val="ＭＳ Ｐゴシック"/>
      <family val="3"/>
      <charset val="128"/>
      <scheme val="minor"/>
    </font>
    <font>
      <b/>
      <sz val="14"/>
      <color theme="1"/>
      <name val="ＭＳ Ｐゴシック"/>
      <family val="3"/>
      <charset val="128"/>
      <scheme val="minor"/>
    </font>
    <font>
      <sz val="11"/>
      <color theme="1"/>
      <name val="ＭＳ Ｐゴシック"/>
      <family val="3"/>
      <charset val="128"/>
      <scheme val="minor"/>
    </font>
    <font>
      <sz val="11"/>
      <color theme="1"/>
      <name val="Meiryo UI"/>
      <family val="3"/>
      <charset val="128"/>
    </font>
    <font>
      <sz val="12"/>
      <color theme="1"/>
      <name val="ＭＳ Ｐゴシック"/>
      <family val="3"/>
      <charset val="128"/>
      <scheme val="minor"/>
    </font>
    <font>
      <b/>
      <sz val="10"/>
      <color rgb="FFFF0000"/>
      <name val="ＭＳ Ｐゴシック"/>
      <family val="3"/>
      <charset val="128"/>
      <scheme val="minor"/>
    </font>
    <font>
      <b/>
      <sz val="11"/>
      <color rgb="FFFF0000"/>
      <name val="ＭＳ Ｐゴシック"/>
      <family val="3"/>
      <charset val="128"/>
    </font>
    <font>
      <u/>
      <sz val="11"/>
      <color theme="10"/>
      <name val="ＭＳ Ｐゴシック"/>
      <family val="2"/>
      <charset val="128"/>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rgb="FFCCFFCC"/>
        <bgColor indexed="64"/>
      </patternFill>
    </fill>
    <fill>
      <patternFill patternType="solid">
        <fgColor rgb="FFFFFFCC"/>
        <bgColor indexed="64"/>
      </patternFill>
    </fill>
    <fill>
      <patternFill patternType="solid">
        <fgColor theme="5" tint="0.79998168889431442"/>
        <bgColor indexed="64"/>
      </patternFill>
    </fill>
    <fill>
      <patternFill patternType="solid">
        <fgColor theme="0" tint="-0.499984740745262"/>
        <bgColor indexed="64"/>
      </patternFill>
    </fill>
  </fills>
  <borders count="8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bottom/>
      <diagonal/>
    </border>
    <border>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thin">
        <color indexed="64"/>
      </left>
      <right style="thin">
        <color indexed="64"/>
      </right>
      <top/>
      <bottom style="thin">
        <color indexed="64"/>
      </bottom>
      <diagonal/>
    </border>
    <border>
      <left/>
      <right/>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ck">
        <color rgb="FF00B050"/>
      </left>
      <right/>
      <top style="thick">
        <color rgb="FF00B050"/>
      </top>
      <bottom/>
      <diagonal/>
    </border>
    <border>
      <left/>
      <right/>
      <top style="thick">
        <color rgb="FF00B050"/>
      </top>
      <bottom/>
      <diagonal/>
    </border>
    <border>
      <left style="thick">
        <color rgb="FF339966"/>
      </left>
      <right/>
      <top style="thick">
        <color rgb="FF339966"/>
      </top>
      <bottom/>
      <diagonal/>
    </border>
    <border>
      <left/>
      <right/>
      <top style="thick">
        <color rgb="FF339966"/>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auto="1"/>
      </left>
      <right/>
      <top style="thick">
        <color auto="1"/>
      </top>
      <bottom style="dashed">
        <color auto="1"/>
      </bottom>
      <diagonal/>
    </border>
    <border>
      <left/>
      <right/>
      <top style="thick">
        <color auto="1"/>
      </top>
      <bottom style="dashed">
        <color auto="1"/>
      </bottom>
      <diagonal/>
    </border>
    <border>
      <left/>
      <right style="thick">
        <color auto="1"/>
      </right>
      <top style="thick">
        <color auto="1"/>
      </top>
      <bottom style="dashed">
        <color auto="1"/>
      </bottom>
      <diagonal/>
    </border>
    <border>
      <left style="thick">
        <color auto="1"/>
      </left>
      <right/>
      <top style="dashed">
        <color auto="1"/>
      </top>
      <bottom style="dashed">
        <color auto="1"/>
      </bottom>
      <diagonal/>
    </border>
    <border>
      <left/>
      <right/>
      <top style="dashed">
        <color auto="1"/>
      </top>
      <bottom style="dashed">
        <color auto="1"/>
      </bottom>
      <diagonal/>
    </border>
    <border>
      <left/>
      <right style="thick">
        <color auto="1"/>
      </right>
      <top style="dashed">
        <color auto="1"/>
      </top>
      <bottom style="dashed">
        <color auto="1"/>
      </bottom>
      <diagonal/>
    </border>
    <border>
      <left/>
      <right style="thick">
        <color indexed="64"/>
      </right>
      <top style="thin">
        <color indexed="64"/>
      </top>
      <bottom style="thin">
        <color indexed="64"/>
      </bottom>
      <diagonal/>
    </border>
    <border>
      <left style="thick">
        <color indexed="64"/>
      </left>
      <right/>
      <top style="thin">
        <color indexed="64"/>
      </top>
      <bottom style="thin">
        <color indexed="64"/>
      </bottom>
      <diagonal/>
    </border>
    <border>
      <left style="thick">
        <color indexed="64"/>
      </left>
      <right style="thin">
        <color indexed="64"/>
      </right>
      <top style="thin">
        <color indexed="64"/>
      </top>
      <bottom/>
      <diagonal/>
    </border>
    <border>
      <left style="thin">
        <color indexed="64"/>
      </left>
      <right style="thick">
        <color indexed="64"/>
      </right>
      <top style="thin">
        <color indexed="64"/>
      </top>
      <bottom/>
      <diagonal/>
    </border>
    <border>
      <left style="thick">
        <color auto="1"/>
      </left>
      <right/>
      <top style="dashed">
        <color auto="1"/>
      </top>
      <bottom/>
      <diagonal/>
    </border>
    <border>
      <left/>
      <right/>
      <top style="dashed">
        <color auto="1"/>
      </top>
      <bottom/>
      <diagonal/>
    </border>
    <border>
      <left/>
      <right style="thick">
        <color auto="1"/>
      </right>
      <top style="dashed">
        <color auto="1"/>
      </top>
      <bottom/>
      <diagonal/>
    </border>
    <border>
      <left style="thick">
        <color indexed="64"/>
      </left>
      <right style="thin">
        <color indexed="64"/>
      </right>
      <top/>
      <bottom style="thick">
        <color indexed="64"/>
      </bottom>
      <diagonal/>
    </border>
    <border>
      <left style="thin">
        <color indexed="64"/>
      </left>
      <right style="thin">
        <color indexed="64"/>
      </right>
      <top/>
      <bottom style="thick">
        <color indexed="64"/>
      </bottom>
      <diagonal/>
    </border>
    <border>
      <left style="thin">
        <color indexed="64"/>
      </left>
      <right/>
      <top/>
      <bottom style="thick">
        <color indexed="64"/>
      </bottom>
      <diagonal/>
    </border>
    <border>
      <left style="thin">
        <color indexed="64"/>
      </left>
      <right style="thick">
        <color indexed="64"/>
      </right>
      <top/>
      <bottom style="thick">
        <color indexed="64"/>
      </bottom>
      <diagonal/>
    </border>
  </borders>
  <cellStyleXfs count="4">
    <xf numFmtId="0" fontId="0" fillId="0" borderId="0">
      <alignment vertical="center"/>
    </xf>
    <xf numFmtId="0" fontId="8" fillId="0" borderId="0"/>
    <xf numFmtId="0" fontId="13" fillId="0" borderId="0" applyNumberFormat="0" applyFill="0" applyBorder="0" applyAlignment="0" applyProtection="0">
      <alignment vertical="top"/>
      <protection locked="0"/>
    </xf>
    <xf numFmtId="0" fontId="22" fillId="0" borderId="0" applyNumberFormat="0" applyFill="0" applyBorder="0" applyAlignment="0" applyProtection="0">
      <alignment vertical="center"/>
    </xf>
  </cellStyleXfs>
  <cellXfs count="252">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0" fillId="0" borderId="0" xfId="0" applyAlignment="1">
      <alignment vertical="center"/>
    </xf>
    <xf numFmtId="0" fontId="0" fillId="0" borderId="19" xfId="0" applyFill="1" applyBorder="1" applyAlignment="1">
      <alignment vertical="center"/>
    </xf>
    <xf numFmtId="0" fontId="0" fillId="0" borderId="0" xfId="0" applyBorder="1" applyAlignment="1">
      <alignment horizontal="center" vertical="center"/>
    </xf>
    <xf numFmtId="0" fontId="6" fillId="0" borderId="0" xfId="0" applyFont="1">
      <alignment vertical="center"/>
    </xf>
    <xf numFmtId="0" fontId="7" fillId="0" borderId="0" xfId="0" applyFont="1">
      <alignment vertical="center"/>
    </xf>
    <xf numFmtId="0" fontId="9" fillId="0" borderId="0" xfId="1" applyFont="1" applyAlignment="1">
      <alignment horizontal="left"/>
    </xf>
    <xf numFmtId="0" fontId="8" fillId="0" borderId="0" xfId="1" applyAlignment="1">
      <alignment horizontal="left"/>
    </xf>
    <xf numFmtId="0" fontId="10" fillId="0" borderId="0" xfId="1" applyFont="1"/>
    <xf numFmtId="0" fontId="8" fillId="0" borderId="0" xfId="1" applyAlignment="1">
      <alignment wrapText="1"/>
    </xf>
    <xf numFmtId="0" fontId="8" fillId="0" borderId="0" xfId="1" applyAlignment="1">
      <alignment horizontal="left" vertical="top"/>
    </xf>
    <xf numFmtId="0" fontId="8" fillId="0" borderId="0" xfId="1" applyAlignment="1">
      <alignment horizontal="left" vertical="top" wrapText="1"/>
    </xf>
    <xf numFmtId="0" fontId="8" fillId="0" borderId="0" xfId="1"/>
    <xf numFmtId="0" fontId="8" fillId="0" borderId="5" xfId="1" applyFont="1" applyBorder="1" applyAlignment="1">
      <alignment horizontal="left"/>
    </xf>
    <xf numFmtId="0" fontId="8" fillId="0" borderId="6" xfId="1" applyBorder="1" applyAlignment="1">
      <alignment horizontal="left" vertical="top"/>
    </xf>
    <xf numFmtId="0" fontId="8" fillId="0" borderId="7" xfId="1" applyBorder="1" applyAlignment="1">
      <alignment horizontal="left" vertical="top"/>
    </xf>
    <xf numFmtId="0" fontId="8" fillId="0" borderId="0" xfId="1" applyBorder="1" applyAlignment="1">
      <alignment horizontal="left" vertical="top"/>
    </xf>
    <xf numFmtId="0" fontId="8" fillId="0" borderId="8" xfId="1" applyBorder="1" applyAlignment="1">
      <alignment horizontal="left" vertical="top"/>
    </xf>
    <xf numFmtId="0" fontId="8" fillId="0" borderId="9" xfId="1" applyBorder="1" applyAlignment="1">
      <alignment horizontal="left" vertical="top"/>
    </xf>
    <xf numFmtId="0" fontId="8" fillId="0" borderId="0" xfId="1" applyBorder="1" applyAlignment="1">
      <alignment horizontal="left" vertical="top" wrapText="1"/>
    </xf>
    <xf numFmtId="0" fontId="13" fillId="0" borderId="0" xfId="2" applyAlignment="1" applyProtection="1"/>
    <xf numFmtId="0" fontId="0" fillId="0" borderId="0" xfId="0" applyBorder="1">
      <alignment vertical="center"/>
    </xf>
    <xf numFmtId="0" fontId="0" fillId="2" borderId="1" xfId="0" applyFill="1" applyBorder="1" applyAlignment="1">
      <alignment horizontal="center" vertical="center"/>
    </xf>
    <xf numFmtId="0" fontId="0" fillId="2" borderId="29" xfId="0" applyFill="1" applyBorder="1" applyAlignment="1">
      <alignment horizontal="center" vertical="center"/>
    </xf>
    <xf numFmtId="0" fontId="0" fillId="2" borderId="35" xfId="0" applyFill="1" applyBorder="1" applyAlignment="1">
      <alignment horizontal="center" vertical="center"/>
    </xf>
    <xf numFmtId="0" fontId="0" fillId="2" borderId="39" xfId="0" applyFill="1" applyBorder="1" applyAlignment="1">
      <alignment horizontal="center" vertical="center"/>
    </xf>
    <xf numFmtId="0" fontId="0" fillId="0" borderId="5" xfId="0" applyBorder="1" applyAlignment="1">
      <alignment horizontal="center" vertical="center"/>
    </xf>
    <xf numFmtId="0" fontId="0" fillId="2" borderId="23" xfId="0" applyFill="1" applyBorder="1" applyAlignment="1">
      <alignment horizontal="center"/>
    </xf>
    <xf numFmtId="0" fontId="0" fillId="0" borderId="0" xfId="0" applyProtection="1">
      <alignment vertical="center"/>
      <protection locked="0"/>
    </xf>
    <xf numFmtId="0" fontId="0" fillId="0" borderId="0" xfId="0" applyBorder="1" applyAlignment="1" applyProtection="1">
      <alignment vertical="center"/>
      <protection locked="0"/>
    </xf>
    <xf numFmtId="0" fontId="0" fillId="0" borderId="51" xfId="0" applyBorder="1">
      <alignment vertical="center"/>
    </xf>
    <xf numFmtId="0" fontId="0" fillId="0" borderId="39" xfId="0" applyFill="1" applyBorder="1" applyAlignment="1">
      <alignment horizontal="center" vertical="center"/>
    </xf>
    <xf numFmtId="0" fontId="0" fillId="0" borderId="29" xfId="0" applyFill="1" applyBorder="1" applyAlignment="1">
      <alignment horizontal="center" vertical="center"/>
    </xf>
    <xf numFmtId="0" fontId="0" fillId="0" borderId="29" xfId="0" applyFill="1" applyBorder="1" applyAlignment="1">
      <alignment horizontal="center" vertical="center" wrapText="1"/>
    </xf>
    <xf numFmtId="0" fontId="0" fillId="0" borderId="35" xfId="0" applyFill="1" applyBorder="1" applyAlignment="1">
      <alignment horizontal="center" vertical="center" wrapText="1"/>
    </xf>
    <xf numFmtId="0" fontId="6" fillId="0" borderId="0" xfId="0" applyFont="1" applyBorder="1">
      <alignment vertical="center"/>
    </xf>
    <xf numFmtId="0" fontId="17" fillId="0" borderId="0" xfId="0" applyFont="1">
      <alignment vertical="center"/>
    </xf>
    <xf numFmtId="0" fontId="6" fillId="0" borderId="0" xfId="0" applyFont="1" applyBorder="1" applyAlignment="1">
      <alignment vertical="center"/>
    </xf>
    <xf numFmtId="0" fontId="6" fillId="0" borderId="0" xfId="0" applyFont="1" applyBorder="1" applyAlignment="1">
      <alignment horizontal="left" vertical="center"/>
    </xf>
    <xf numFmtId="0" fontId="6" fillId="0" borderId="0" xfId="0" applyFont="1" applyAlignment="1">
      <alignment horizontal="left" vertical="center"/>
    </xf>
    <xf numFmtId="0" fontId="0" fillId="2" borderId="27" xfId="0" applyFill="1" applyBorder="1" applyAlignment="1">
      <alignment horizontal="center" vertical="center"/>
    </xf>
    <xf numFmtId="0" fontId="6" fillId="0" borderId="0" xfId="0" applyFont="1" applyAlignment="1">
      <alignment vertical="center"/>
    </xf>
    <xf numFmtId="0" fontId="0" fillId="0" borderId="0" xfId="0" applyFont="1">
      <alignment vertical="center"/>
    </xf>
    <xf numFmtId="0" fontId="0" fillId="0" borderId="1" xfId="0" applyBorder="1" applyAlignment="1">
      <alignment horizontal="center" vertical="center"/>
    </xf>
    <xf numFmtId="0" fontId="16" fillId="5" borderId="55" xfId="0" applyFont="1" applyFill="1" applyBorder="1">
      <alignment vertical="center"/>
    </xf>
    <xf numFmtId="0" fontId="16" fillId="5" borderId="57" xfId="0" applyFont="1" applyFill="1" applyBorder="1">
      <alignment vertical="center"/>
    </xf>
    <xf numFmtId="0" fontId="17" fillId="5" borderId="58" xfId="0" applyFont="1" applyFill="1" applyBorder="1">
      <alignment vertical="center"/>
    </xf>
    <xf numFmtId="0" fontId="6" fillId="5" borderId="56" xfId="0" applyFont="1" applyFill="1" applyBorder="1">
      <alignment vertical="center"/>
    </xf>
    <xf numFmtId="0" fontId="0" fillId="0" borderId="62" xfId="0" applyBorder="1">
      <alignment vertical="center"/>
    </xf>
    <xf numFmtId="0" fontId="0" fillId="0" borderId="63" xfId="0" applyBorder="1" applyAlignment="1">
      <alignment horizontal="center" vertical="center"/>
    </xf>
    <xf numFmtId="0" fontId="0" fillId="6" borderId="59" xfId="0" applyFill="1" applyBorder="1">
      <alignment vertical="center"/>
    </xf>
    <xf numFmtId="0" fontId="6" fillId="6" borderId="60" xfId="0" applyFont="1" applyFill="1" applyBorder="1" applyAlignment="1">
      <alignment horizontal="left" vertical="center" wrapText="1"/>
    </xf>
    <xf numFmtId="0" fontId="6" fillId="6" borderId="60" xfId="0" applyFont="1" applyFill="1" applyBorder="1" applyAlignment="1">
      <alignment horizontal="center" vertical="center" wrapText="1"/>
    </xf>
    <xf numFmtId="0" fontId="6" fillId="6" borderId="60" xfId="0" applyFont="1" applyFill="1" applyBorder="1" applyAlignment="1">
      <alignment horizontal="center" vertical="center"/>
    </xf>
    <xf numFmtId="0" fontId="6" fillId="6" borderId="61" xfId="0" applyFont="1" applyFill="1" applyBorder="1" applyAlignment="1">
      <alignment horizontal="center" vertical="center"/>
    </xf>
    <xf numFmtId="0" fontId="0" fillId="0" borderId="1" xfId="0" applyFont="1" applyBorder="1">
      <alignment vertical="center"/>
    </xf>
    <xf numFmtId="0" fontId="18" fillId="0" borderId="0" xfId="0" applyFont="1" applyFill="1" applyBorder="1" applyAlignment="1">
      <alignment vertical="center"/>
    </xf>
    <xf numFmtId="0" fontId="19" fillId="0" borderId="0" xfId="0" applyFont="1" applyFill="1" applyBorder="1" applyAlignment="1">
      <alignment horizontal="center" vertical="center"/>
    </xf>
    <xf numFmtId="0" fontId="17" fillId="0" borderId="0" xfId="0" applyFont="1" applyBorder="1">
      <alignment vertical="center"/>
    </xf>
    <xf numFmtId="0" fontId="17" fillId="0" borderId="0" xfId="0" applyFont="1" applyFill="1" applyBorder="1" applyAlignment="1">
      <alignment horizontal="left" vertical="center"/>
    </xf>
    <xf numFmtId="0" fontId="16" fillId="0" borderId="0" xfId="0" applyFont="1" applyFill="1" applyBorder="1">
      <alignment vertical="center"/>
    </xf>
    <xf numFmtId="0" fontId="17" fillId="0" borderId="0" xfId="0" applyFont="1" applyFill="1" applyBorder="1">
      <alignment vertical="center"/>
    </xf>
    <xf numFmtId="0" fontId="17" fillId="0" borderId="0" xfId="0" applyFont="1" applyFill="1">
      <alignment vertical="center"/>
    </xf>
    <xf numFmtId="0" fontId="0" fillId="0" borderId="1" xfId="0" applyFill="1" applyBorder="1" applyAlignment="1" applyProtection="1">
      <alignment vertical="center"/>
      <protection locked="0"/>
    </xf>
    <xf numFmtId="0" fontId="7" fillId="0" borderId="0" xfId="0" applyFont="1" applyBorder="1">
      <alignment vertical="center"/>
    </xf>
    <xf numFmtId="0" fontId="7" fillId="0" borderId="0" xfId="0" applyFont="1" applyBorder="1" applyAlignment="1">
      <alignment horizontal="center" vertical="center"/>
    </xf>
    <xf numFmtId="0" fontId="6" fillId="5" borderId="58" xfId="0" applyFont="1" applyFill="1" applyBorder="1">
      <alignment vertical="center"/>
    </xf>
    <xf numFmtId="0" fontId="21" fillId="0" borderId="0" xfId="0" applyFont="1" applyAlignment="1">
      <alignment vertical="center"/>
    </xf>
    <xf numFmtId="0" fontId="7" fillId="0" borderId="0" xfId="0" applyFont="1" applyAlignment="1">
      <alignment horizontal="left" vertical="center"/>
    </xf>
    <xf numFmtId="0" fontId="6" fillId="0" borderId="0" xfId="0" applyFont="1" applyBorder="1" applyAlignment="1">
      <alignment horizontal="left" vertical="center"/>
    </xf>
    <xf numFmtId="0" fontId="6" fillId="0" borderId="0" xfId="0" applyFont="1" applyAlignment="1">
      <alignment horizontal="left" vertical="center"/>
    </xf>
    <xf numFmtId="0" fontId="6" fillId="0" borderId="0" xfId="0" applyFont="1" applyAlignment="1">
      <alignment horizontal="left" vertical="center" wrapText="1"/>
    </xf>
    <xf numFmtId="0" fontId="6" fillId="0" borderId="0" xfId="0" applyFont="1" applyAlignment="1">
      <alignment vertical="center"/>
    </xf>
    <xf numFmtId="0" fontId="0" fillId="0" borderId="75" xfId="0" applyBorder="1">
      <alignment vertical="center"/>
    </xf>
    <xf numFmtId="0" fontId="17" fillId="0" borderId="53" xfId="0" applyFont="1" applyBorder="1">
      <alignment vertical="center"/>
    </xf>
    <xf numFmtId="0" fontId="0" fillId="0" borderId="53" xfId="0" applyBorder="1" applyAlignment="1">
      <alignment horizontal="center" vertical="center"/>
    </xf>
    <xf numFmtId="0" fontId="0" fillId="0" borderId="76" xfId="0" applyBorder="1" applyAlignment="1">
      <alignment horizontal="center" vertical="center"/>
    </xf>
    <xf numFmtId="0" fontId="17" fillId="0" borderId="1" xfId="0" applyFont="1" applyBorder="1">
      <alignment vertical="center"/>
    </xf>
    <xf numFmtId="0" fontId="0" fillId="0" borderId="2" xfId="0" applyBorder="1" applyAlignment="1">
      <alignment horizontal="center" vertical="center"/>
    </xf>
    <xf numFmtId="0" fontId="0" fillId="0" borderId="1" xfId="0" applyBorder="1" applyAlignment="1">
      <alignment horizontal="center" vertical="center"/>
    </xf>
    <xf numFmtId="0" fontId="0" fillId="0" borderId="80" xfId="0" applyBorder="1">
      <alignment vertical="center"/>
    </xf>
    <xf numFmtId="0" fontId="17" fillId="0" borderId="81" xfId="0" applyFont="1" applyBorder="1">
      <alignment vertical="center"/>
    </xf>
    <xf numFmtId="0" fontId="0" fillId="0" borderId="81" xfId="0" applyBorder="1" applyAlignment="1">
      <alignment horizontal="center" vertical="center"/>
    </xf>
    <xf numFmtId="0" fontId="0" fillId="0" borderId="82" xfId="0" applyBorder="1" applyAlignment="1">
      <alignment horizontal="center" vertical="center"/>
    </xf>
    <xf numFmtId="0" fontId="0" fillId="0" borderId="11" xfId="0" applyBorder="1" applyAlignment="1" applyProtection="1">
      <alignment vertical="center"/>
    </xf>
    <xf numFmtId="0" fontId="0" fillId="0" borderId="28" xfId="0" applyBorder="1" applyAlignment="1" applyProtection="1">
      <alignment vertical="center"/>
    </xf>
    <xf numFmtId="0" fontId="0" fillId="0" borderId="5" xfId="0" applyBorder="1" applyAlignment="1" applyProtection="1">
      <alignment horizontal="center" vertical="center"/>
    </xf>
    <xf numFmtId="0" fontId="0" fillId="0" borderId="6" xfId="0" applyBorder="1" applyAlignment="1" applyProtection="1">
      <alignment vertical="center"/>
    </xf>
    <xf numFmtId="0" fontId="0" fillId="0" borderId="32" xfId="0" applyBorder="1" applyAlignment="1" applyProtection="1">
      <alignment vertical="center"/>
    </xf>
    <xf numFmtId="0" fontId="0" fillId="0" borderId="25" xfId="0" applyBorder="1" applyAlignment="1" applyProtection="1">
      <alignment vertical="center"/>
    </xf>
    <xf numFmtId="0" fontId="0" fillId="0" borderId="26" xfId="0" applyBorder="1" applyAlignment="1" applyProtection="1">
      <alignment vertical="center"/>
    </xf>
    <xf numFmtId="0" fontId="0" fillId="2" borderId="1" xfId="0" applyFill="1" applyBorder="1" applyAlignment="1" applyProtection="1">
      <alignment horizontal="center" vertical="center"/>
    </xf>
    <xf numFmtId="0" fontId="0" fillId="2" borderId="2" xfId="0" applyFill="1" applyBorder="1" applyAlignment="1" applyProtection="1">
      <alignment horizontal="left" vertical="center"/>
    </xf>
    <xf numFmtId="0" fontId="0" fillId="2" borderId="3" xfId="0" applyFill="1" applyBorder="1" applyAlignment="1" applyProtection="1">
      <alignment horizontal="left" vertical="center"/>
    </xf>
    <xf numFmtId="0" fontId="0" fillId="2" borderId="30" xfId="0" applyFill="1" applyBorder="1" applyAlignment="1" applyProtection="1">
      <alignment horizontal="left" vertical="center"/>
    </xf>
    <xf numFmtId="0" fontId="0" fillId="2" borderId="47" xfId="0" applyFill="1" applyBorder="1" applyAlignment="1" applyProtection="1">
      <alignment horizontal="center" vertical="center"/>
    </xf>
    <xf numFmtId="0" fontId="0" fillId="0" borderId="1" xfId="0" applyBorder="1" applyAlignment="1">
      <alignment horizontal="center" vertical="center"/>
    </xf>
    <xf numFmtId="0" fontId="0" fillId="0" borderId="63"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vertical="center"/>
    </xf>
    <xf numFmtId="0" fontId="0" fillId="0" borderId="63" xfId="0" applyBorder="1" applyAlignment="1">
      <alignment horizontal="center" vertical="center"/>
    </xf>
    <xf numFmtId="0" fontId="7" fillId="0" borderId="0" xfId="0" applyFont="1" applyAlignment="1">
      <alignment horizontal="left" vertical="center"/>
    </xf>
    <xf numFmtId="0" fontId="6" fillId="0" borderId="0" xfId="0" applyFont="1" applyBorder="1" applyAlignment="1">
      <alignment horizontal="left" vertical="center"/>
    </xf>
    <xf numFmtId="0" fontId="6" fillId="0" borderId="0" xfId="0" applyFont="1" applyAlignment="1">
      <alignment horizontal="left" vertical="center"/>
    </xf>
    <xf numFmtId="0" fontId="0" fillId="2" borderId="2" xfId="0" applyFill="1" applyBorder="1" applyAlignment="1" applyProtection="1">
      <alignment horizontal="left" vertical="center"/>
    </xf>
    <xf numFmtId="0" fontId="0" fillId="2" borderId="3" xfId="0" applyFill="1" applyBorder="1" applyAlignment="1" applyProtection="1">
      <alignment horizontal="left" vertical="center"/>
    </xf>
    <xf numFmtId="0" fontId="0" fillId="2" borderId="30" xfId="0" applyFill="1" applyBorder="1" applyAlignment="1" applyProtection="1">
      <alignment horizontal="left" vertical="center"/>
    </xf>
    <xf numFmtId="0" fontId="0" fillId="2" borderId="1" xfId="0" applyFill="1" applyBorder="1" applyAlignment="1" applyProtection="1">
      <alignment horizontal="center" vertical="center"/>
    </xf>
    <xf numFmtId="0" fontId="6" fillId="0" borderId="0" xfId="0" applyFont="1" applyAlignment="1">
      <alignment horizontal="left" vertical="center" wrapText="1"/>
    </xf>
    <xf numFmtId="0" fontId="0" fillId="2" borderId="27" xfId="0" applyFill="1" applyBorder="1" applyAlignment="1">
      <alignment horizontal="center" vertical="center"/>
    </xf>
    <xf numFmtId="0" fontId="6" fillId="0" borderId="0" xfId="0" applyFont="1" applyAlignment="1">
      <alignment vertical="center"/>
    </xf>
    <xf numFmtId="0" fontId="0" fillId="0" borderId="62" xfId="0" applyBorder="1" applyAlignment="1">
      <alignment horizontal="center" vertical="center"/>
    </xf>
    <xf numFmtId="0" fontId="0" fillId="0" borderId="1" xfId="0" applyBorder="1" applyAlignment="1">
      <alignment horizontal="center" vertical="center"/>
    </xf>
    <xf numFmtId="0" fontId="0" fillId="0" borderId="63" xfId="0" applyBorder="1" applyAlignment="1">
      <alignment horizontal="center" vertical="center"/>
    </xf>
    <xf numFmtId="0" fontId="0" fillId="0" borderId="70" xfId="0" applyBorder="1" applyAlignment="1">
      <alignment horizontal="center" vertical="center"/>
    </xf>
    <xf numFmtId="0" fontId="0" fillId="0" borderId="71" xfId="0" applyBorder="1" applyAlignment="1">
      <alignment horizontal="center" vertical="center"/>
    </xf>
    <xf numFmtId="0" fontId="0" fillId="0" borderId="72" xfId="0" applyBorder="1" applyAlignment="1">
      <alignment horizontal="center" vertical="center"/>
    </xf>
    <xf numFmtId="0" fontId="0" fillId="0" borderId="77" xfId="0" applyBorder="1" applyAlignment="1">
      <alignment horizontal="center" vertical="center"/>
    </xf>
    <xf numFmtId="0" fontId="0" fillId="0" borderId="78" xfId="0" applyBorder="1" applyAlignment="1">
      <alignment horizontal="center" vertical="center"/>
    </xf>
    <xf numFmtId="0" fontId="0" fillId="0" borderId="79" xfId="0" applyBorder="1" applyAlignment="1">
      <alignment horizontal="center" vertical="center"/>
    </xf>
    <xf numFmtId="0" fontId="0" fillId="0" borderId="75" xfId="0" applyBorder="1" applyAlignment="1">
      <alignment horizontal="center" vertical="center"/>
    </xf>
    <xf numFmtId="0" fontId="0" fillId="0" borderId="53" xfId="0" applyBorder="1" applyAlignment="1">
      <alignment horizontal="center" vertical="center"/>
    </xf>
    <xf numFmtId="0" fontId="0" fillId="0" borderId="76" xfId="0" applyBorder="1" applyAlignment="1">
      <alignment horizontal="center" vertical="center"/>
    </xf>
    <xf numFmtId="0" fontId="19" fillId="0" borderId="59" xfId="0" applyFont="1" applyFill="1" applyBorder="1" applyAlignment="1" applyProtection="1">
      <alignment vertical="center"/>
      <protection locked="0"/>
    </xf>
    <xf numFmtId="0" fontId="19" fillId="0" borderId="60" xfId="0" applyFont="1" applyFill="1" applyBorder="1" applyAlignment="1" applyProtection="1">
      <alignment vertical="center"/>
      <protection locked="0"/>
    </xf>
    <xf numFmtId="0" fontId="19" fillId="0" borderId="61" xfId="0" applyFont="1" applyFill="1" applyBorder="1" applyAlignment="1" applyProtection="1">
      <alignment vertical="center"/>
      <protection locked="0"/>
    </xf>
    <xf numFmtId="0" fontId="19" fillId="0" borderId="62" xfId="0" applyFont="1" applyFill="1" applyBorder="1" applyAlignment="1" applyProtection="1">
      <alignment vertical="center"/>
      <protection locked="0"/>
    </xf>
    <xf numFmtId="0" fontId="19" fillId="0" borderId="1" xfId="0" applyFont="1" applyFill="1" applyBorder="1" applyAlignment="1" applyProtection="1">
      <alignment vertical="center"/>
      <protection locked="0"/>
    </xf>
    <xf numFmtId="0" fontId="19" fillId="0" borderId="63" xfId="0" applyFont="1" applyFill="1" applyBorder="1" applyAlignment="1" applyProtection="1">
      <alignment vertical="center"/>
      <protection locked="0"/>
    </xf>
    <xf numFmtId="0" fontId="19" fillId="3" borderId="1" xfId="0" applyFont="1" applyFill="1" applyBorder="1" applyAlignment="1">
      <alignment horizontal="center" vertical="center"/>
    </xf>
    <xf numFmtId="0" fontId="19" fillId="3" borderId="2" xfId="0" applyFont="1" applyFill="1" applyBorder="1" applyAlignment="1">
      <alignment horizontal="center" vertical="center"/>
    </xf>
    <xf numFmtId="0" fontId="19" fillId="4" borderId="1" xfId="0" applyFont="1" applyFill="1" applyBorder="1" applyAlignment="1">
      <alignment horizontal="center" vertical="center"/>
    </xf>
    <xf numFmtId="0" fontId="19" fillId="4" borderId="2" xfId="0" applyFont="1" applyFill="1" applyBorder="1" applyAlignment="1">
      <alignment horizontal="center" vertical="center"/>
    </xf>
    <xf numFmtId="0" fontId="19" fillId="0" borderId="74" xfId="0" applyFont="1" applyFill="1" applyBorder="1" applyAlignment="1" applyProtection="1">
      <alignment horizontal="left" vertical="center"/>
      <protection locked="0"/>
    </xf>
    <xf numFmtId="0" fontId="19" fillId="0" borderId="3" xfId="0" applyFont="1" applyFill="1" applyBorder="1" applyAlignment="1" applyProtection="1">
      <alignment horizontal="left" vertical="center"/>
      <protection locked="0"/>
    </xf>
    <xf numFmtId="0" fontId="19" fillId="0" borderId="73" xfId="0" applyFont="1" applyFill="1" applyBorder="1" applyAlignment="1" applyProtection="1">
      <alignment horizontal="left" vertical="center"/>
      <protection locked="0"/>
    </xf>
    <xf numFmtId="0" fontId="6" fillId="7" borderId="67" xfId="0" applyFont="1" applyFill="1" applyBorder="1" applyAlignment="1">
      <alignment horizontal="center" vertical="center"/>
    </xf>
    <xf numFmtId="0" fontId="6" fillId="7" borderId="68" xfId="0" applyFont="1" applyFill="1" applyBorder="1" applyAlignment="1">
      <alignment horizontal="center" vertical="center"/>
    </xf>
    <xf numFmtId="0" fontId="6" fillId="7" borderId="69" xfId="0" applyFont="1" applyFill="1" applyBorder="1" applyAlignment="1">
      <alignment horizontal="center" vertical="center"/>
    </xf>
    <xf numFmtId="0" fontId="0" fillId="0" borderId="80" xfId="0" applyBorder="1" applyAlignment="1">
      <alignment horizontal="center" vertical="center"/>
    </xf>
    <xf numFmtId="0" fontId="0" fillId="0" borderId="81" xfId="0" applyBorder="1" applyAlignment="1">
      <alignment horizontal="center" vertical="center"/>
    </xf>
    <xf numFmtId="0" fontId="0" fillId="0" borderId="83" xfId="0" applyBorder="1" applyAlignment="1">
      <alignment horizontal="center" vertical="center"/>
    </xf>
    <xf numFmtId="0" fontId="0" fillId="0" borderId="17" xfId="0" applyBorder="1" applyAlignment="1">
      <alignment horizontal="left" vertical="center"/>
    </xf>
    <xf numFmtId="0" fontId="22" fillId="0" borderId="64" xfId="3" applyFill="1" applyBorder="1" applyAlignment="1" applyProtection="1">
      <alignment vertical="center"/>
      <protection locked="0"/>
    </xf>
    <xf numFmtId="0" fontId="19" fillId="0" borderId="65" xfId="0" applyFont="1" applyFill="1" applyBorder="1" applyAlignment="1" applyProtection="1">
      <alignment vertical="center"/>
      <protection locked="0"/>
    </xf>
    <xf numFmtId="0" fontId="19" fillId="0" borderId="66" xfId="0" applyFont="1" applyFill="1" applyBorder="1" applyAlignment="1" applyProtection="1">
      <alignment vertical="center"/>
      <protection locked="0"/>
    </xf>
    <xf numFmtId="0" fontId="0" fillId="0" borderId="24" xfId="0" applyBorder="1" applyAlignment="1" applyProtection="1">
      <alignment horizontal="center" vertical="center"/>
    </xf>
    <xf numFmtId="0" fontId="0" fillId="0" borderId="25" xfId="0" applyBorder="1" applyAlignment="1" applyProtection="1">
      <alignment horizontal="center" vertical="center"/>
    </xf>
    <xf numFmtId="0" fontId="6" fillId="0" borderId="0" xfId="0" applyFont="1" applyBorder="1" applyAlignment="1">
      <alignment horizontal="left" vertical="center"/>
    </xf>
    <xf numFmtId="0" fontId="6" fillId="0" borderId="0" xfId="0" applyFont="1" applyAlignment="1">
      <alignment horizontal="left" vertical="center"/>
    </xf>
    <xf numFmtId="0" fontId="3" fillId="0" borderId="13" xfId="0" applyFont="1" applyBorder="1" applyAlignment="1">
      <alignment horizontal="center" vertical="center"/>
    </xf>
    <xf numFmtId="0" fontId="4" fillId="0" borderId="14" xfId="0" applyFont="1" applyBorder="1" applyAlignment="1">
      <alignment horizontal="center" vertical="center"/>
    </xf>
    <xf numFmtId="0" fontId="4" fillId="0" borderId="15" xfId="0" applyFont="1" applyBorder="1" applyAlignment="1">
      <alignment horizontal="center" vertical="center"/>
    </xf>
    <xf numFmtId="0" fontId="4" fillId="0" borderId="16" xfId="0" applyFont="1" applyBorder="1" applyAlignment="1">
      <alignment horizontal="center" vertical="center"/>
    </xf>
    <xf numFmtId="0" fontId="4" fillId="0" borderId="17" xfId="0" applyFont="1" applyBorder="1" applyAlignment="1">
      <alignment horizontal="center" vertical="center"/>
    </xf>
    <xf numFmtId="0" fontId="4" fillId="0" borderId="18" xfId="0" applyFont="1" applyBorder="1" applyAlignment="1">
      <alignment horizontal="center" vertical="center"/>
    </xf>
    <xf numFmtId="0" fontId="16" fillId="0" borderId="0" xfId="0" applyFont="1" applyFill="1" applyAlignment="1">
      <alignment horizontal="center" vertical="center"/>
    </xf>
    <xf numFmtId="0" fontId="0" fillId="0" borderId="11" xfId="0" applyBorder="1" applyAlignment="1" applyProtection="1">
      <alignment horizontal="center" vertical="center"/>
      <protection locked="0"/>
    </xf>
    <xf numFmtId="0" fontId="6" fillId="0" borderId="0" xfId="0" applyFont="1" applyAlignment="1">
      <alignment vertical="center"/>
    </xf>
    <xf numFmtId="0" fontId="0" fillId="0" borderId="0" xfId="0" applyAlignment="1" applyProtection="1">
      <alignment horizontal="center" vertical="center"/>
      <protection locked="0"/>
    </xf>
    <xf numFmtId="0" fontId="0" fillId="0" borderId="10" xfId="0" applyBorder="1" applyAlignment="1" applyProtection="1">
      <alignment horizontal="center" vertical="center"/>
    </xf>
    <xf numFmtId="0" fontId="0" fillId="0" borderId="11" xfId="0" applyBorder="1" applyAlignment="1" applyProtection="1">
      <alignment horizontal="center" vertical="center"/>
    </xf>
    <xf numFmtId="0" fontId="0" fillId="0" borderId="2" xfId="0" applyBorder="1" applyAlignment="1" applyProtection="1">
      <alignment horizontal="left" vertical="center"/>
    </xf>
    <xf numFmtId="0" fontId="0" fillId="0" borderId="3" xfId="0" applyBorder="1" applyAlignment="1" applyProtection="1">
      <alignment horizontal="left" vertical="center"/>
    </xf>
    <xf numFmtId="0" fontId="0" fillId="0" borderId="30" xfId="0" applyBorder="1" applyAlignment="1" applyProtection="1">
      <alignment horizontal="left" vertical="center"/>
    </xf>
    <xf numFmtId="0" fontId="6" fillId="0" borderId="49" xfId="0" applyFont="1" applyBorder="1" applyAlignment="1">
      <alignment horizontal="left" vertical="center" wrapText="1"/>
    </xf>
    <xf numFmtId="0" fontId="6" fillId="0" borderId="0" xfId="0" applyFont="1" applyAlignment="1">
      <alignment horizontal="left" vertical="center" wrapText="1"/>
    </xf>
    <xf numFmtId="0" fontId="0" fillId="2" borderId="31" xfId="0" applyFill="1" applyBorder="1" applyAlignment="1">
      <alignment horizontal="center" vertical="center"/>
    </xf>
    <xf numFmtId="0" fontId="0" fillId="2" borderId="33" xfId="0" applyFill="1" applyBorder="1" applyAlignment="1">
      <alignment horizontal="center" vertical="center"/>
    </xf>
    <xf numFmtId="0" fontId="0" fillId="2" borderId="27" xfId="0" applyFill="1" applyBorder="1" applyAlignment="1">
      <alignment horizontal="center" vertical="center"/>
    </xf>
    <xf numFmtId="0" fontId="0" fillId="0" borderId="6" xfId="0" applyBorder="1" applyAlignment="1" applyProtection="1">
      <alignment horizontal="left" vertical="center"/>
    </xf>
    <xf numFmtId="0" fontId="0" fillId="0" borderId="8" xfId="0" applyBorder="1" applyAlignment="1" applyProtection="1">
      <alignment horizontal="left" vertical="center"/>
    </xf>
    <xf numFmtId="0" fontId="0" fillId="0" borderId="0" xfId="0" applyBorder="1" applyAlignment="1" applyProtection="1">
      <alignment horizontal="left" vertical="center"/>
    </xf>
    <xf numFmtId="0" fontId="0" fillId="0" borderId="34" xfId="0" applyBorder="1" applyAlignment="1" applyProtection="1">
      <alignment horizontal="left" vertical="center"/>
    </xf>
    <xf numFmtId="0" fontId="0" fillId="0" borderId="10" xfId="0" applyBorder="1" applyAlignment="1" applyProtection="1">
      <alignment horizontal="left" vertical="center"/>
    </xf>
    <xf numFmtId="0" fontId="0" fillId="0" borderId="11" xfId="0" applyBorder="1" applyAlignment="1" applyProtection="1">
      <alignment horizontal="left" vertical="center"/>
    </xf>
    <xf numFmtId="0" fontId="0" fillId="0" borderId="28" xfId="0" applyBorder="1" applyAlignment="1" applyProtection="1">
      <alignment horizontal="left" vertical="center"/>
    </xf>
    <xf numFmtId="0" fontId="0" fillId="0" borderId="2" xfId="0" applyBorder="1" applyAlignment="1" applyProtection="1">
      <alignment horizontal="center" vertical="center"/>
    </xf>
    <xf numFmtId="0" fontId="0" fillId="0" borderId="3" xfId="0" applyBorder="1" applyAlignment="1" applyProtection="1">
      <alignment horizontal="center" vertical="center"/>
    </xf>
    <xf numFmtId="0" fontId="0" fillId="0" borderId="30" xfId="0" applyBorder="1" applyAlignment="1" applyProtection="1">
      <alignment horizontal="center" vertical="center"/>
    </xf>
    <xf numFmtId="0" fontId="0" fillId="0" borderId="36" xfId="0" applyBorder="1" applyAlignment="1" applyProtection="1">
      <alignment horizontal="center" vertical="center"/>
    </xf>
    <xf numFmtId="0" fontId="0" fillId="0" borderId="37" xfId="0" applyBorder="1" applyAlignment="1" applyProtection="1">
      <alignment horizontal="center" vertical="center"/>
    </xf>
    <xf numFmtId="0" fontId="0" fillId="0" borderId="38" xfId="0" applyBorder="1" applyAlignment="1" applyProtection="1">
      <alignment horizontal="center" vertical="center"/>
    </xf>
    <xf numFmtId="0" fontId="6" fillId="0" borderId="51" xfId="0" applyFont="1" applyBorder="1" applyAlignment="1">
      <alignment horizontal="left" vertical="center"/>
    </xf>
    <xf numFmtId="0" fontId="0" fillId="2" borderId="41" xfId="0" applyFill="1" applyBorder="1" applyAlignment="1" applyProtection="1">
      <alignment horizontal="center" vertical="center"/>
    </xf>
    <xf numFmtId="0" fontId="0" fillId="2" borderId="42" xfId="0" applyFill="1" applyBorder="1" applyAlignment="1" applyProtection="1">
      <alignment horizontal="center" vertical="center"/>
    </xf>
    <xf numFmtId="0" fontId="0" fillId="2" borderId="40" xfId="0" applyFill="1" applyBorder="1" applyAlignment="1" applyProtection="1">
      <alignment horizontal="center" vertical="center"/>
    </xf>
    <xf numFmtId="0" fontId="0" fillId="2" borderId="1" xfId="0" applyFill="1" applyBorder="1" applyAlignment="1" applyProtection="1">
      <alignment horizontal="center" vertical="center"/>
    </xf>
    <xf numFmtId="0" fontId="0" fillId="2" borderId="41" xfId="0" applyFill="1" applyBorder="1" applyAlignment="1" applyProtection="1">
      <alignment horizontal="left" vertical="center"/>
    </xf>
    <xf numFmtId="0" fontId="0" fillId="2" borderId="43" xfId="0" applyFill="1" applyBorder="1" applyAlignment="1" applyProtection="1">
      <alignment horizontal="left" vertical="center"/>
    </xf>
    <xf numFmtId="0" fontId="0" fillId="2" borderId="44" xfId="0" applyFill="1" applyBorder="1" applyAlignment="1" applyProtection="1">
      <alignment horizontal="left" vertical="center"/>
    </xf>
    <xf numFmtId="0" fontId="0" fillId="2" borderId="2" xfId="0" applyFill="1" applyBorder="1" applyAlignment="1" applyProtection="1">
      <alignment horizontal="center" vertical="center"/>
    </xf>
    <xf numFmtId="0" fontId="0" fillId="2" borderId="4" xfId="0" applyFill="1" applyBorder="1" applyAlignment="1" applyProtection="1">
      <alignment horizontal="center" vertical="center"/>
    </xf>
    <xf numFmtId="0" fontId="0" fillId="2" borderId="2" xfId="0" applyFill="1" applyBorder="1" applyAlignment="1" applyProtection="1">
      <alignment horizontal="left" vertical="center"/>
    </xf>
    <xf numFmtId="0" fontId="0" fillId="2" borderId="3" xfId="0" applyFill="1" applyBorder="1" applyAlignment="1" applyProtection="1">
      <alignment horizontal="left" vertical="center"/>
    </xf>
    <xf numFmtId="0" fontId="0" fillId="2" borderId="30" xfId="0" applyFill="1" applyBorder="1" applyAlignment="1" applyProtection="1">
      <alignment horizontal="left" vertical="center"/>
    </xf>
    <xf numFmtId="0" fontId="0" fillId="0" borderId="31" xfId="0" applyFill="1" applyBorder="1" applyAlignment="1">
      <alignment horizontal="center" vertical="center" wrapText="1"/>
    </xf>
    <xf numFmtId="0" fontId="0" fillId="0" borderId="27" xfId="0" applyFill="1" applyBorder="1" applyAlignment="1">
      <alignment horizontal="center" vertical="center" wrapText="1"/>
    </xf>
    <xf numFmtId="0" fontId="0" fillId="2" borderId="5" xfId="0" applyFill="1" applyBorder="1" applyAlignment="1" applyProtection="1">
      <alignment horizontal="center" vertical="center"/>
    </xf>
    <xf numFmtId="0" fontId="0" fillId="2" borderId="7" xfId="0" applyFill="1" applyBorder="1" applyAlignment="1" applyProtection="1">
      <alignment horizontal="center" vertical="center"/>
    </xf>
    <xf numFmtId="0" fontId="0" fillId="2" borderId="10" xfId="0" applyFill="1" applyBorder="1" applyAlignment="1" applyProtection="1">
      <alignment horizontal="center" vertical="center"/>
    </xf>
    <xf numFmtId="0" fontId="0" fillId="2" borderId="12" xfId="0" applyFill="1" applyBorder="1" applyAlignment="1" applyProtection="1">
      <alignment horizontal="center" vertical="center"/>
    </xf>
    <xf numFmtId="0" fontId="0" fillId="2" borderId="53" xfId="0" applyFill="1" applyBorder="1" applyAlignment="1" applyProtection="1">
      <alignment horizontal="center" vertical="center"/>
    </xf>
    <xf numFmtId="0" fontId="0" fillId="2" borderId="50" xfId="0" applyFill="1" applyBorder="1" applyAlignment="1" applyProtection="1">
      <alignment horizontal="center" vertical="center"/>
    </xf>
    <xf numFmtId="0" fontId="0" fillId="2" borderId="5" xfId="0" applyFill="1" applyBorder="1" applyAlignment="1" applyProtection="1">
      <alignment horizontal="left" vertical="center"/>
    </xf>
    <xf numFmtId="0" fontId="0" fillId="2" borderId="7" xfId="0" applyFill="1" applyBorder="1" applyAlignment="1" applyProtection="1">
      <alignment horizontal="left" vertical="center"/>
    </xf>
    <xf numFmtId="0" fontId="0" fillId="2" borderId="10" xfId="0" applyFill="1" applyBorder="1" applyAlignment="1" applyProtection="1">
      <alignment horizontal="left" vertical="center"/>
    </xf>
    <xf numFmtId="0" fontId="0" fillId="2" borderId="12" xfId="0" applyFill="1" applyBorder="1" applyAlignment="1" applyProtection="1">
      <alignment horizontal="left" vertical="center"/>
    </xf>
    <xf numFmtId="0" fontId="0" fillId="0" borderId="1" xfId="0" applyFill="1" applyBorder="1" applyAlignment="1" applyProtection="1">
      <alignment horizontal="center" vertical="center"/>
      <protection locked="0"/>
    </xf>
    <xf numFmtId="0" fontId="0" fillId="2" borderId="1" xfId="0" applyFill="1" applyBorder="1" applyAlignment="1" applyProtection="1">
      <alignment horizontal="left" vertical="center"/>
    </xf>
    <xf numFmtId="0" fontId="0" fillId="2" borderId="46" xfId="0" applyFill="1" applyBorder="1" applyAlignment="1" applyProtection="1">
      <alignment horizontal="left" vertical="center"/>
    </xf>
    <xf numFmtId="0" fontId="0" fillId="2" borderId="54" xfId="0" applyFill="1" applyBorder="1" applyAlignment="1" applyProtection="1">
      <alignment horizontal="center" vertical="center"/>
    </xf>
    <xf numFmtId="0" fontId="0" fillId="2" borderId="36" xfId="0" applyFill="1" applyBorder="1" applyAlignment="1" applyProtection="1">
      <alignment horizontal="center" vertical="center"/>
    </xf>
    <xf numFmtId="0" fontId="0" fillId="2" borderId="52" xfId="0" applyFill="1" applyBorder="1" applyAlignment="1" applyProtection="1">
      <alignment horizontal="center" vertical="center"/>
    </xf>
    <xf numFmtId="0" fontId="0" fillId="2" borderId="36" xfId="0" applyFill="1" applyBorder="1" applyAlignment="1" applyProtection="1">
      <alignment horizontal="left" vertical="center"/>
    </xf>
    <xf numFmtId="0" fontId="0" fillId="0" borderId="37" xfId="0" applyBorder="1" applyAlignment="1" applyProtection="1">
      <alignment horizontal="left" vertical="center"/>
    </xf>
    <xf numFmtId="0" fontId="0" fillId="0" borderId="38" xfId="0" applyBorder="1" applyAlignment="1" applyProtection="1">
      <alignment horizontal="left" vertical="center"/>
    </xf>
    <xf numFmtId="0" fontId="14" fillId="0" borderId="20" xfId="0" applyFont="1" applyBorder="1" applyAlignment="1">
      <alignment horizontal="left" vertical="center" wrapText="1"/>
    </xf>
    <xf numFmtId="0" fontId="15" fillId="0" borderId="21" xfId="0" applyFont="1" applyBorder="1" applyAlignment="1">
      <alignment horizontal="left" vertical="center" wrapText="1"/>
    </xf>
    <xf numFmtId="0" fontId="15" fillId="0" borderId="22" xfId="0" applyFont="1" applyBorder="1" applyAlignment="1">
      <alignment horizontal="left" vertical="center" wrapText="1"/>
    </xf>
    <xf numFmtId="0" fontId="0" fillId="0" borderId="1" xfId="0" applyBorder="1" applyAlignment="1" applyProtection="1">
      <alignment horizontal="center" vertical="center"/>
      <protection locked="0"/>
    </xf>
    <xf numFmtId="0" fontId="7" fillId="0" borderId="8" xfId="0" applyFont="1" applyBorder="1" applyAlignment="1">
      <alignment horizontal="left" vertical="center"/>
    </xf>
    <xf numFmtId="0" fontId="7" fillId="0" borderId="0" xfId="0" applyFont="1" applyAlignment="1">
      <alignment horizontal="left" vertical="center"/>
    </xf>
    <xf numFmtId="0" fontId="6" fillId="0" borderId="49" xfId="0" applyFont="1" applyBorder="1" applyAlignment="1">
      <alignment horizontal="left" vertical="center"/>
    </xf>
    <xf numFmtId="0" fontId="0" fillId="0" borderId="41"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44" xfId="0" applyBorder="1" applyAlignment="1" applyProtection="1">
      <alignment horizontal="center" vertical="center"/>
      <protection locked="0"/>
    </xf>
    <xf numFmtId="0" fontId="0" fillId="0" borderId="36" xfId="0" applyBorder="1" applyAlignment="1" applyProtection="1">
      <alignment horizontal="center" vertical="center"/>
      <protection locked="0"/>
    </xf>
    <xf numFmtId="0" fontId="0" fillId="0" borderId="37" xfId="0" applyBorder="1" applyAlignment="1" applyProtection="1">
      <alignment horizontal="center" vertical="center"/>
      <protection locked="0"/>
    </xf>
    <xf numFmtId="0" fontId="0" fillId="0" borderId="38" xfId="0" applyBorder="1" applyAlignment="1" applyProtection="1">
      <alignment horizontal="center" vertical="center"/>
      <protection locked="0"/>
    </xf>
    <xf numFmtId="0" fontId="0" fillId="0" borderId="39" xfId="0" applyBorder="1" applyAlignment="1" applyProtection="1">
      <alignment horizontal="center" vertical="center"/>
      <protection locked="0"/>
    </xf>
    <xf numFmtId="0" fontId="0" fillId="0" borderId="40" xfId="0" applyBorder="1" applyAlignment="1" applyProtection="1">
      <alignment horizontal="center" vertical="center"/>
      <protection locked="0"/>
    </xf>
    <xf numFmtId="0" fontId="0" fillId="0" borderId="45" xfId="0" applyBorder="1" applyAlignment="1" applyProtection="1">
      <alignment horizontal="center" vertical="center"/>
      <protection locked="0"/>
    </xf>
    <xf numFmtId="0" fontId="0" fillId="0" borderId="29" xfId="0" applyBorder="1" applyAlignment="1" applyProtection="1">
      <alignment horizontal="center" vertical="center"/>
      <protection locked="0"/>
    </xf>
    <xf numFmtId="0" fontId="0" fillId="0" borderId="46" xfId="0" applyBorder="1" applyAlignment="1" applyProtection="1">
      <alignment horizontal="center" vertical="center"/>
      <protection locked="0"/>
    </xf>
    <xf numFmtId="0" fontId="0" fillId="0" borderId="35" xfId="0" applyBorder="1" applyAlignment="1" applyProtection="1">
      <alignment horizontal="center" vertical="center"/>
      <protection locked="0"/>
    </xf>
    <xf numFmtId="0" fontId="0" fillId="0" borderId="47" xfId="0" applyBorder="1" applyAlignment="1" applyProtection="1">
      <alignment horizontal="center" vertical="center"/>
      <protection locked="0"/>
    </xf>
    <xf numFmtId="0" fontId="0" fillId="0" borderId="48" xfId="0" applyBorder="1" applyAlignment="1" applyProtection="1">
      <alignment horizontal="center" vertical="center"/>
      <protection locked="0"/>
    </xf>
    <xf numFmtId="0" fontId="8" fillId="0" borderId="0" xfId="1" applyAlignment="1">
      <alignment horizontal="left" vertical="top" wrapText="1"/>
    </xf>
    <xf numFmtId="0" fontId="10" fillId="0" borderId="0" xfId="1" applyFont="1" applyAlignment="1">
      <alignment horizontal="center"/>
    </xf>
    <xf numFmtId="0" fontId="8" fillId="0" borderId="10" xfId="1" applyBorder="1" applyAlignment="1">
      <alignment horizontal="left" vertical="top" wrapText="1"/>
    </xf>
    <xf numFmtId="0" fontId="8" fillId="0" borderId="11" xfId="1" applyBorder="1" applyAlignment="1">
      <alignment horizontal="left" vertical="top" wrapText="1"/>
    </xf>
    <xf numFmtId="0" fontId="8" fillId="0" borderId="12" xfId="1" applyBorder="1" applyAlignment="1">
      <alignment horizontal="left" vertical="top" wrapText="1"/>
    </xf>
    <xf numFmtId="0" fontId="0" fillId="8" borderId="29" xfId="0" applyFill="1" applyBorder="1" applyAlignment="1">
      <alignment horizontal="center" vertical="center" wrapText="1"/>
    </xf>
    <xf numFmtId="0" fontId="0" fillId="0" borderId="39" xfId="0" applyFill="1" applyBorder="1" applyAlignment="1" applyProtection="1">
      <alignment horizontal="center" vertical="center"/>
      <protection locked="0"/>
    </xf>
    <xf numFmtId="0" fontId="0" fillId="8" borderId="29" xfId="0" applyFill="1" applyBorder="1" applyAlignment="1" applyProtection="1">
      <alignment horizontal="center" vertical="center"/>
      <protection locked="0"/>
    </xf>
    <xf numFmtId="0" fontId="0" fillId="0" borderId="29" xfId="0" applyFill="1" applyBorder="1" applyAlignment="1" applyProtection="1">
      <alignment horizontal="center" vertical="center" wrapText="1"/>
      <protection locked="0"/>
    </xf>
    <xf numFmtId="0" fontId="0" fillId="8" borderId="29" xfId="0" applyFill="1" applyBorder="1" applyAlignment="1" applyProtection="1">
      <alignment horizontal="center" vertical="center" wrapText="1"/>
      <protection locked="0"/>
    </xf>
    <xf numFmtId="0" fontId="0" fillId="8" borderId="35" xfId="0" applyFill="1" applyBorder="1" applyAlignment="1" applyProtection="1">
      <alignment horizontal="center" vertical="center" wrapText="1"/>
      <protection locked="0"/>
    </xf>
  </cellXfs>
  <cellStyles count="4">
    <cellStyle name="ハイパーリンク" xfId="3" builtinId="8"/>
    <cellStyle name="ハイパーリンク 2" xfId="2"/>
    <cellStyle name="標準" xfId="0" builtinId="0"/>
    <cellStyle name="標準 2" xfId="1"/>
  </cellStyles>
  <dxfs count="9">
    <dxf>
      <font>
        <b/>
        <i val="0"/>
      </font>
    </dxf>
    <dxf>
      <font>
        <b/>
        <i val="0"/>
        <color rgb="FFFF0000"/>
      </font>
      <fill>
        <patternFill>
          <bgColor rgb="FFFFFF00"/>
        </patternFill>
      </fill>
    </dxf>
    <dxf>
      <font>
        <b/>
        <i val="0"/>
        <color theme="1"/>
      </font>
      <fill>
        <patternFill patternType="solid">
          <bgColor theme="3" tint="0.59996337778862885"/>
        </patternFill>
      </fill>
    </dxf>
    <dxf>
      <font>
        <b/>
        <i val="0"/>
        <color rgb="FFFF0000"/>
      </font>
      <fill>
        <patternFill>
          <bgColor rgb="FFCCFF99"/>
        </patternFill>
      </fill>
    </dxf>
    <dxf>
      <font>
        <b/>
        <i val="0"/>
      </font>
    </dxf>
    <dxf>
      <font>
        <b/>
        <i val="0"/>
        <color rgb="FFFF0000"/>
      </font>
      <fill>
        <patternFill>
          <bgColor rgb="FFFFFF00"/>
        </patternFill>
      </fill>
    </dxf>
    <dxf>
      <font>
        <b/>
        <i val="0"/>
        <color theme="1"/>
      </font>
      <fill>
        <patternFill patternType="solid">
          <bgColor theme="3" tint="0.59996337778862885"/>
        </patternFill>
      </fill>
    </dxf>
    <dxf>
      <font>
        <b/>
        <i val="0"/>
        <color rgb="FFFF0000"/>
      </font>
      <fill>
        <patternFill>
          <bgColor rgb="FFCCFF99"/>
        </patternFill>
      </fill>
    </dxf>
    <dxf>
      <fill>
        <patternFill>
          <bgColor theme="5" tint="0.79998168889431442"/>
        </patternFill>
      </fill>
    </dxf>
  </dxfs>
  <tableStyles count="0" defaultTableStyle="TableStyleMedium2" defaultPivotStyle="PivotStyleLight16"/>
  <colors>
    <mruColors>
      <color rgb="FF339966"/>
      <color rgb="FF33CC33"/>
      <color rgb="FFCCFFCC"/>
      <color rgb="FFFFFFCC"/>
      <color rgb="FF99FF66"/>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drawings/_rels/drawing2.xml.rels><?xml version="1.0" encoding="UTF-8" standalone="yes"?>
<Relationships xmlns="http://schemas.openxmlformats.org/package/2006/relationships"><Relationship Id="rId1" Type="http://schemas.openxmlformats.org/officeDocument/2006/relationships/hyperlink" Target="file:///\\Crab\&#12459;&#12454;&#12499;&#12451;&#20107;&#26989;&#37096;\02&#25345;&#23478;\02-12&#20303;&#23429;&#21451;&#12398;&#20250;&#65288;&#19981;&#21205;&#29987;&#32057;&#20171;&#12539;&#24341;&#36234;&#12469;&#12540;&#12499;&#12473;&#65289;\02-12-03&#19981;&#21205;&#29987;&#32057;&#20171;\01&#32057;&#20171;&#12459;&#12540;&#12489;&#30330;&#34892;&#38306;&#36899;\&#9733;&#25552;&#25658;&#19981;&#21205;&#29987;&#20250;&#31038;&#23451;&#12513;&#12540;&#12523;&#12288;&#8251;&#12501;&#12457;&#12523;&#12480;&#21517;&#32232;&#38598;&#31105;&#27490;\&#32057;&#20171;&#12459;&#12540;&#12489;&#30330;&#34892;&#12398;&#12362;&#30693;&#12425;&#12379;&#65288;&#12490;&#12452;&#12473;&#65289;.msg" TargetMode="Externa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36.emf"/><Relationship Id="rId18" Type="http://schemas.openxmlformats.org/officeDocument/2006/relationships/image" Target="../media/image41.emf"/><Relationship Id="rId26" Type="http://schemas.openxmlformats.org/officeDocument/2006/relationships/image" Target="../media/image16.emf"/><Relationship Id="rId39" Type="http://schemas.openxmlformats.org/officeDocument/2006/relationships/image" Target="../media/image4.emf"/><Relationship Id="rId21" Type="http://schemas.openxmlformats.org/officeDocument/2006/relationships/image" Target="../media/image21.emf"/><Relationship Id="rId34" Type="http://schemas.openxmlformats.org/officeDocument/2006/relationships/image" Target="../media/image9.emf"/><Relationship Id="rId42" Type="http://schemas.openxmlformats.org/officeDocument/2006/relationships/image" Target="../media/image2.emf"/><Relationship Id="rId7" Type="http://schemas.openxmlformats.org/officeDocument/2006/relationships/image" Target="../media/image30.emf"/><Relationship Id="rId2" Type="http://schemas.openxmlformats.org/officeDocument/2006/relationships/image" Target="../media/image25.emf"/><Relationship Id="rId16" Type="http://schemas.openxmlformats.org/officeDocument/2006/relationships/image" Target="../media/image39.emf"/><Relationship Id="rId29" Type="http://schemas.openxmlformats.org/officeDocument/2006/relationships/image" Target="../media/image13.emf"/><Relationship Id="rId1" Type="http://schemas.openxmlformats.org/officeDocument/2006/relationships/image" Target="../media/image24.emf"/><Relationship Id="rId6" Type="http://schemas.openxmlformats.org/officeDocument/2006/relationships/image" Target="../media/image29.emf"/><Relationship Id="rId11" Type="http://schemas.openxmlformats.org/officeDocument/2006/relationships/image" Target="../media/image34.emf"/><Relationship Id="rId24" Type="http://schemas.openxmlformats.org/officeDocument/2006/relationships/image" Target="../media/image18.emf"/><Relationship Id="rId32" Type="http://schemas.openxmlformats.org/officeDocument/2006/relationships/image" Target="../media/image42.emf"/><Relationship Id="rId37" Type="http://schemas.openxmlformats.org/officeDocument/2006/relationships/image" Target="../media/image6.emf"/><Relationship Id="rId40" Type="http://schemas.openxmlformats.org/officeDocument/2006/relationships/image" Target="../media/image3.emf"/><Relationship Id="rId45" Type="http://schemas.openxmlformats.org/officeDocument/2006/relationships/image" Target="../media/image1.emf"/><Relationship Id="rId5" Type="http://schemas.openxmlformats.org/officeDocument/2006/relationships/image" Target="../media/image28.emf"/><Relationship Id="rId15" Type="http://schemas.openxmlformats.org/officeDocument/2006/relationships/image" Target="../media/image38.emf"/><Relationship Id="rId23" Type="http://schemas.openxmlformats.org/officeDocument/2006/relationships/image" Target="../media/image19.emf"/><Relationship Id="rId28" Type="http://schemas.openxmlformats.org/officeDocument/2006/relationships/image" Target="../media/image14.emf"/><Relationship Id="rId36" Type="http://schemas.openxmlformats.org/officeDocument/2006/relationships/image" Target="../media/image7.emf"/><Relationship Id="rId10" Type="http://schemas.openxmlformats.org/officeDocument/2006/relationships/image" Target="../media/image33.emf"/><Relationship Id="rId19" Type="http://schemas.openxmlformats.org/officeDocument/2006/relationships/image" Target="../media/image23.emf"/><Relationship Id="rId31" Type="http://schemas.openxmlformats.org/officeDocument/2006/relationships/image" Target="../media/image11.emf"/><Relationship Id="rId44" Type="http://schemas.openxmlformats.org/officeDocument/2006/relationships/image" Target="../media/image45.emf"/><Relationship Id="rId4" Type="http://schemas.openxmlformats.org/officeDocument/2006/relationships/image" Target="../media/image27.emf"/><Relationship Id="rId9" Type="http://schemas.openxmlformats.org/officeDocument/2006/relationships/image" Target="../media/image32.emf"/><Relationship Id="rId14" Type="http://schemas.openxmlformats.org/officeDocument/2006/relationships/image" Target="../media/image37.emf"/><Relationship Id="rId22" Type="http://schemas.openxmlformats.org/officeDocument/2006/relationships/image" Target="../media/image20.emf"/><Relationship Id="rId27" Type="http://schemas.openxmlformats.org/officeDocument/2006/relationships/image" Target="../media/image15.emf"/><Relationship Id="rId30" Type="http://schemas.openxmlformats.org/officeDocument/2006/relationships/image" Target="../media/image12.emf"/><Relationship Id="rId35" Type="http://schemas.openxmlformats.org/officeDocument/2006/relationships/image" Target="../media/image8.emf"/><Relationship Id="rId43" Type="http://schemas.openxmlformats.org/officeDocument/2006/relationships/image" Target="../media/image44.emf"/><Relationship Id="rId8" Type="http://schemas.openxmlformats.org/officeDocument/2006/relationships/image" Target="../media/image31.emf"/><Relationship Id="rId3" Type="http://schemas.openxmlformats.org/officeDocument/2006/relationships/image" Target="../media/image26.emf"/><Relationship Id="rId12" Type="http://schemas.openxmlformats.org/officeDocument/2006/relationships/image" Target="../media/image35.emf"/><Relationship Id="rId17" Type="http://schemas.openxmlformats.org/officeDocument/2006/relationships/image" Target="../media/image40.emf"/><Relationship Id="rId25" Type="http://schemas.openxmlformats.org/officeDocument/2006/relationships/image" Target="../media/image17.emf"/><Relationship Id="rId33" Type="http://schemas.openxmlformats.org/officeDocument/2006/relationships/image" Target="../media/image10.emf"/><Relationship Id="rId38" Type="http://schemas.openxmlformats.org/officeDocument/2006/relationships/image" Target="../media/image5.emf"/><Relationship Id="rId20" Type="http://schemas.openxmlformats.org/officeDocument/2006/relationships/image" Target="../media/image22.emf"/><Relationship Id="rId41" Type="http://schemas.openxmlformats.org/officeDocument/2006/relationships/image" Target="../media/image4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104775</xdr:colOff>
          <xdr:row>23</xdr:row>
          <xdr:rowOff>57150</xdr:rowOff>
        </xdr:from>
        <xdr:to>
          <xdr:col>1</xdr:col>
          <xdr:colOff>266700</xdr:colOff>
          <xdr:row>23</xdr:row>
          <xdr:rowOff>228600</xdr:rowOff>
        </xdr:to>
        <xdr:sp macro="" textlink="">
          <xdr:nvSpPr>
            <xdr:cNvPr id="36865" name="CheckBox1" hidden="1">
              <a:extLst>
                <a:ext uri="{63B3BB69-23CF-44E3-9099-C40C66FF867C}">
                  <a14:compatExt spid="_x0000_s368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24</xdr:row>
          <xdr:rowOff>57150</xdr:rowOff>
        </xdr:from>
        <xdr:to>
          <xdr:col>1</xdr:col>
          <xdr:colOff>276225</xdr:colOff>
          <xdr:row>24</xdr:row>
          <xdr:rowOff>228600</xdr:rowOff>
        </xdr:to>
        <xdr:sp macro="" textlink="">
          <xdr:nvSpPr>
            <xdr:cNvPr id="36867" name="CheckBox2" hidden="1">
              <a:extLst>
                <a:ext uri="{63B3BB69-23CF-44E3-9099-C40C66FF867C}">
                  <a14:compatExt spid="_x0000_s368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25</xdr:row>
          <xdr:rowOff>66675</xdr:rowOff>
        </xdr:from>
        <xdr:to>
          <xdr:col>1</xdr:col>
          <xdr:colOff>276225</xdr:colOff>
          <xdr:row>25</xdr:row>
          <xdr:rowOff>238125</xdr:rowOff>
        </xdr:to>
        <xdr:sp macro="" textlink="">
          <xdr:nvSpPr>
            <xdr:cNvPr id="36868" name="CheckBox3" hidden="1">
              <a:extLst>
                <a:ext uri="{63B3BB69-23CF-44E3-9099-C40C66FF867C}">
                  <a14:compatExt spid="_x0000_s368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26</xdr:row>
          <xdr:rowOff>66675</xdr:rowOff>
        </xdr:from>
        <xdr:to>
          <xdr:col>1</xdr:col>
          <xdr:colOff>276225</xdr:colOff>
          <xdr:row>26</xdr:row>
          <xdr:rowOff>238125</xdr:rowOff>
        </xdr:to>
        <xdr:sp macro="" textlink="">
          <xdr:nvSpPr>
            <xdr:cNvPr id="36869" name="CheckBox4" hidden="1">
              <a:extLst>
                <a:ext uri="{63B3BB69-23CF-44E3-9099-C40C66FF867C}">
                  <a14:compatExt spid="_x0000_s368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74</xdr:row>
          <xdr:rowOff>57150</xdr:rowOff>
        </xdr:from>
        <xdr:to>
          <xdr:col>3</xdr:col>
          <xdr:colOff>390525</xdr:colOff>
          <xdr:row>77</xdr:row>
          <xdr:rowOff>123825</xdr:rowOff>
        </xdr:to>
        <xdr:sp macro="" textlink="">
          <xdr:nvSpPr>
            <xdr:cNvPr id="36870" name="CommandButton1" hidden="1">
              <a:extLst>
                <a:ext uri="{63B3BB69-23CF-44E3-9099-C40C66FF867C}">
                  <a14:compatExt spid="_x0000_s368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27</xdr:row>
          <xdr:rowOff>57150</xdr:rowOff>
        </xdr:from>
        <xdr:to>
          <xdr:col>1</xdr:col>
          <xdr:colOff>276225</xdr:colOff>
          <xdr:row>27</xdr:row>
          <xdr:rowOff>228600</xdr:rowOff>
        </xdr:to>
        <xdr:sp macro="" textlink="">
          <xdr:nvSpPr>
            <xdr:cNvPr id="36871" name="CheckBox5" hidden="1">
              <a:extLst>
                <a:ext uri="{63B3BB69-23CF-44E3-9099-C40C66FF867C}">
                  <a14:compatExt spid="_x0000_s368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28</xdr:row>
          <xdr:rowOff>47625</xdr:rowOff>
        </xdr:from>
        <xdr:to>
          <xdr:col>1</xdr:col>
          <xdr:colOff>276225</xdr:colOff>
          <xdr:row>28</xdr:row>
          <xdr:rowOff>219075</xdr:rowOff>
        </xdr:to>
        <xdr:sp macro="" textlink="">
          <xdr:nvSpPr>
            <xdr:cNvPr id="36873" name="CheckBox6" hidden="1">
              <a:extLst>
                <a:ext uri="{63B3BB69-23CF-44E3-9099-C40C66FF867C}">
                  <a14:compatExt spid="_x0000_s368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29</xdr:row>
          <xdr:rowOff>66675</xdr:rowOff>
        </xdr:from>
        <xdr:to>
          <xdr:col>1</xdr:col>
          <xdr:colOff>276225</xdr:colOff>
          <xdr:row>29</xdr:row>
          <xdr:rowOff>238125</xdr:rowOff>
        </xdr:to>
        <xdr:sp macro="" textlink="">
          <xdr:nvSpPr>
            <xdr:cNvPr id="36874" name="CheckBox7" hidden="1">
              <a:extLst>
                <a:ext uri="{63B3BB69-23CF-44E3-9099-C40C66FF867C}">
                  <a14:compatExt spid="_x0000_s368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30</xdr:row>
          <xdr:rowOff>66675</xdr:rowOff>
        </xdr:from>
        <xdr:to>
          <xdr:col>1</xdr:col>
          <xdr:colOff>276225</xdr:colOff>
          <xdr:row>30</xdr:row>
          <xdr:rowOff>238125</xdr:rowOff>
        </xdr:to>
        <xdr:sp macro="" textlink="">
          <xdr:nvSpPr>
            <xdr:cNvPr id="36875" name="CheckBox8" hidden="1">
              <a:extLst>
                <a:ext uri="{63B3BB69-23CF-44E3-9099-C40C66FF867C}">
                  <a14:compatExt spid="_x0000_s368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31</xdr:row>
          <xdr:rowOff>85725</xdr:rowOff>
        </xdr:from>
        <xdr:to>
          <xdr:col>1</xdr:col>
          <xdr:colOff>276225</xdr:colOff>
          <xdr:row>31</xdr:row>
          <xdr:rowOff>257175</xdr:rowOff>
        </xdr:to>
        <xdr:sp macro="" textlink="">
          <xdr:nvSpPr>
            <xdr:cNvPr id="36876" name="CheckBox9" hidden="1">
              <a:extLst>
                <a:ext uri="{63B3BB69-23CF-44E3-9099-C40C66FF867C}">
                  <a14:compatExt spid="_x0000_s368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32</xdr:row>
          <xdr:rowOff>85725</xdr:rowOff>
        </xdr:from>
        <xdr:to>
          <xdr:col>1</xdr:col>
          <xdr:colOff>276225</xdr:colOff>
          <xdr:row>32</xdr:row>
          <xdr:rowOff>257175</xdr:rowOff>
        </xdr:to>
        <xdr:sp macro="" textlink="">
          <xdr:nvSpPr>
            <xdr:cNvPr id="36877" name="CheckBox10" hidden="1">
              <a:extLst>
                <a:ext uri="{63B3BB69-23CF-44E3-9099-C40C66FF867C}">
                  <a14:compatExt spid="_x0000_s368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33</xdr:row>
          <xdr:rowOff>76200</xdr:rowOff>
        </xdr:from>
        <xdr:to>
          <xdr:col>1</xdr:col>
          <xdr:colOff>285750</xdr:colOff>
          <xdr:row>33</xdr:row>
          <xdr:rowOff>247650</xdr:rowOff>
        </xdr:to>
        <xdr:sp macro="" textlink="">
          <xdr:nvSpPr>
            <xdr:cNvPr id="36879" name="CheckBox12" hidden="1">
              <a:extLst>
                <a:ext uri="{63B3BB69-23CF-44E3-9099-C40C66FF867C}">
                  <a14:compatExt spid="_x0000_s368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35</xdr:row>
          <xdr:rowOff>66675</xdr:rowOff>
        </xdr:from>
        <xdr:to>
          <xdr:col>1</xdr:col>
          <xdr:colOff>285750</xdr:colOff>
          <xdr:row>35</xdr:row>
          <xdr:rowOff>238125</xdr:rowOff>
        </xdr:to>
        <xdr:sp macro="" textlink="">
          <xdr:nvSpPr>
            <xdr:cNvPr id="36880" name="CheckBox13" hidden="1">
              <a:extLst>
                <a:ext uri="{63B3BB69-23CF-44E3-9099-C40C66FF867C}">
                  <a14:compatExt spid="_x0000_s368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36</xdr:row>
          <xdr:rowOff>66675</xdr:rowOff>
        </xdr:from>
        <xdr:to>
          <xdr:col>1</xdr:col>
          <xdr:colOff>285750</xdr:colOff>
          <xdr:row>36</xdr:row>
          <xdr:rowOff>238125</xdr:rowOff>
        </xdr:to>
        <xdr:sp macro="" textlink="">
          <xdr:nvSpPr>
            <xdr:cNvPr id="36881" name="CheckBox14" hidden="1">
              <a:extLst>
                <a:ext uri="{63B3BB69-23CF-44E3-9099-C40C66FF867C}">
                  <a14:compatExt spid="_x0000_s368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37</xdr:row>
          <xdr:rowOff>76200</xdr:rowOff>
        </xdr:from>
        <xdr:to>
          <xdr:col>1</xdr:col>
          <xdr:colOff>285750</xdr:colOff>
          <xdr:row>37</xdr:row>
          <xdr:rowOff>247650</xdr:rowOff>
        </xdr:to>
        <xdr:sp macro="" textlink="">
          <xdr:nvSpPr>
            <xdr:cNvPr id="36882" name="CheckBox15" hidden="1">
              <a:extLst>
                <a:ext uri="{63B3BB69-23CF-44E3-9099-C40C66FF867C}">
                  <a14:compatExt spid="_x0000_s368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38</xdr:row>
          <xdr:rowOff>66675</xdr:rowOff>
        </xdr:from>
        <xdr:to>
          <xdr:col>1</xdr:col>
          <xdr:colOff>276225</xdr:colOff>
          <xdr:row>38</xdr:row>
          <xdr:rowOff>238125</xdr:rowOff>
        </xdr:to>
        <xdr:sp macro="" textlink="">
          <xdr:nvSpPr>
            <xdr:cNvPr id="36883" name="CheckBox16" hidden="1">
              <a:extLst>
                <a:ext uri="{63B3BB69-23CF-44E3-9099-C40C66FF867C}">
                  <a14:compatExt spid="_x0000_s368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39</xdr:row>
          <xdr:rowOff>66675</xdr:rowOff>
        </xdr:from>
        <xdr:to>
          <xdr:col>1</xdr:col>
          <xdr:colOff>276225</xdr:colOff>
          <xdr:row>39</xdr:row>
          <xdr:rowOff>238125</xdr:rowOff>
        </xdr:to>
        <xdr:sp macro="" textlink="">
          <xdr:nvSpPr>
            <xdr:cNvPr id="36884" name="CheckBox17" hidden="1">
              <a:extLst>
                <a:ext uri="{63B3BB69-23CF-44E3-9099-C40C66FF867C}">
                  <a14:compatExt spid="_x0000_s368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41</xdr:row>
          <xdr:rowOff>76200</xdr:rowOff>
        </xdr:from>
        <xdr:to>
          <xdr:col>1</xdr:col>
          <xdr:colOff>276225</xdr:colOff>
          <xdr:row>41</xdr:row>
          <xdr:rowOff>247650</xdr:rowOff>
        </xdr:to>
        <xdr:sp macro="" textlink="">
          <xdr:nvSpPr>
            <xdr:cNvPr id="36885" name="CheckBox18" hidden="1">
              <a:extLst>
                <a:ext uri="{63B3BB69-23CF-44E3-9099-C40C66FF867C}">
                  <a14:compatExt spid="_x0000_s368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42</xdr:row>
          <xdr:rowOff>76200</xdr:rowOff>
        </xdr:from>
        <xdr:to>
          <xdr:col>1</xdr:col>
          <xdr:colOff>276225</xdr:colOff>
          <xdr:row>42</xdr:row>
          <xdr:rowOff>247650</xdr:rowOff>
        </xdr:to>
        <xdr:sp macro="" textlink="">
          <xdr:nvSpPr>
            <xdr:cNvPr id="36886" name="CheckBox19" hidden="1">
              <a:extLst>
                <a:ext uri="{63B3BB69-23CF-44E3-9099-C40C66FF867C}">
                  <a14:compatExt spid="_x0000_s368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43</xdr:row>
          <xdr:rowOff>66675</xdr:rowOff>
        </xdr:from>
        <xdr:to>
          <xdr:col>1</xdr:col>
          <xdr:colOff>276225</xdr:colOff>
          <xdr:row>43</xdr:row>
          <xdr:rowOff>238125</xdr:rowOff>
        </xdr:to>
        <xdr:sp macro="" textlink="">
          <xdr:nvSpPr>
            <xdr:cNvPr id="36887" name="CheckBox20" hidden="1">
              <a:extLst>
                <a:ext uri="{63B3BB69-23CF-44E3-9099-C40C66FF867C}">
                  <a14:compatExt spid="_x0000_s368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44</xdr:row>
          <xdr:rowOff>66675</xdr:rowOff>
        </xdr:from>
        <xdr:to>
          <xdr:col>1</xdr:col>
          <xdr:colOff>266700</xdr:colOff>
          <xdr:row>44</xdr:row>
          <xdr:rowOff>247650</xdr:rowOff>
        </xdr:to>
        <xdr:sp macro="" textlink="">
          <xdr:nvSpPr>
            <xdr:cNvPr id="36888" name="CheckBox21" hidden="1">
              <a:extLst>
                <a:ext uri="{63B3BB69-23CF-44E3-9099-C40C66FF867C}">
                  <a14:compatExt spid="_x0000_s368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66675</xdr:rowOff>
        </xdr:from>
        <xdr:to>
          <xdr:col>1</xdr:col>
          <xdr:colOff>266700</xdr:colOff>
          <xdr:row>45</xdr:row>
          <xdr:rowOff>247650</xdr:rowOff>
        </xdr:to>
        <xdr:sp macro="" textlink="">
          <xdr:nvSpPr>
            <xdr:cNvPr id="36889" name="CheckBox22" hidden="1">
              <a:extLst>
                <a:ext uri="{63B3BB69-23CF-44E3-9099-C40C66FF867C}">
                  <a14:compatExt spid="_x0000_s368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76200</xdr:rowOff>
        </xdr:from>
        <xdr:to>
          <xdr:col>1</xdr:col>
          <xdr:colOff>266700</xdr:colOff>
          <xdr:row>46</xdr:row>
          <xdr:rowOff>257175</xdr:rowOff>
        </xdr:to>
        <xdr:sp macro="" textlink="">
          <xdr:nvSpPr>
            <xdr:cNvPr id="36890" name="CheckBox23" hidden="1">
              <a:extLst>
                <a:ext uri="{63B3BB69-23CF-44E3-9099-C40C66FF867C}">
                  <a14:compatExt spid="_x0000_s368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57150</xdr:rowOff>
        </xdr:from>
        <xdr:to>
          <xdr:col>1</xdr:col>
          <xdr:colOff>266700</xdr:colOff>
          <xdr:row>47</xdr:row>
          <xdr:rowOff>247650</xdr:rowOff>
        </xdr:to>
        <xdr:sp macro="" textlink="">
          <xdr:nvSpPr>
            <xdr:cNvPr id="36891" name="CheckBox24" hidden="1">
              <a:extLst>
                <a:ext uri="{63B3BB69-23CF-44E3-9099-C40C66FF867C}">
                  <a14:compatExt spid="_x0000_s368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48</xdr:row>
          <xdr:rowOff>76200</xdr:rowOff>
        </xdr:from>
        <xdr:to>
          <xdr:col>1</xdr:col>
          <xdr:colOff>266700</xdr:colOff>
          <xdr:row>48</xdr:row>
          <xdr:rowOff>257175</xdr:rowOff>
        </xdr:to>
        <xdr:sp macro="" textlink="">
          <xdr:nvSpPr>
            <xdr:cNvPr id="36892" name="CheckBox25" hidden="1">
              <a:extLst>
                <a:ext uri="{63B3BB69-23CF-44E3-9099-C40C66FF867C}">
                  <a14:compatExt spid="_x0000_s368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49</xdr:row>
          <xdr:rowOff>66675</xdr:rowOff>
        </xdr:from>
        <xdr:to>
          <xdr:col>1</xdr:col>
          <xdr:colOff>285750</xdr:colOff>
          <xdr:row>49</xdr:row>
          <xdr:rowOff>238125</xdr:rowOff>
        </xdr:to>
        <xdr:sp macro="" textlink="">
          <xdr:nvSpPr>
            <xdr:cNvPr id="36893" name="CheckBox26" hidden="1">
              <a:extLst>
                <a:ext uri="{63B3BB69-23CF-44E3-9099-C40C66FF867C}">
                  <a14:compatExt spid="_x0000_s368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50</xdr:row>
          <xdr:rowOff>66675</xdr:rowOff>
        </xdr:from>
        <xdr:to>
          <xdr:col>1</xdr:col>
          <xdr:colOff>285750</xdr:colOff>
          <xdr:row>50</xdr:row>
          <xdr:rowOff>238125</xdr:rowOff>
        </xdr:to>
        <xdr:sp macro="" textlink="">
          <xdr:nvSpPr>
            <xdr:cNvPr id="36894" name="CheckBox27" hidden="1">
              <a:extLst>
                <a:ext uri="{63B3BB69-23CF-44E3-9099-C40C66FF867C}">
                  <a14:compatExt spid="_x0000_s368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51</xdr:row>
          <xdr:rowOff>66675</xdr:rowOff>
        </xdr:from>
        <xdr:to>
          <xdr:col>1</xdr:col>
          <xdr:colOff>285750</xdr:colOff>
          <xdr:row>51</xdr:row>
          <xdr:rowOff>238125</xdr:rowOff>
        </xdr:to>
        <xdr:sp macro="" textlink="">
          <xdr:nvSpPr>
            <xdr:cNvPr id="36895" name="CheckBox28" hidden="1">
              <a:extLst>
                <a:ext uri="{63B3BB69-23CF-44E3-9099-C40C66FF867C}">
                  <a14:compatExt spid="_x0000_s368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52</xdr:row>
          <xdr:rowOff>57150</xdr:rowOff>
        </xdr:from>
        <xdr:to>
          <xdr:col>1</xdr:col>
          <xdr:colOff>285750</xdr:colOff>
          <xdr:row>52</xdr:row>
          <xdr:rowOff>238125</xdr:rowOff>
        </xdr:to>
        <xdr:sp macro="" textlink="">
          <xdr:nvSpPr>
            <xdr:cNvPr id="36896" name="CheckBox29" hidden="1">
              <a:extLst>
                <a:ext uri="{63B3BB69-23CF-44E3-9099-C40C66FF867C}">
                  <a14:compatExt spid="_x0000_s368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53</xdr:row>
          <xdr:rowOff>66675</xdr:rowOff>
        </xdr:from>
        <xdr:to>
          <xdr:col>1</xdr:col>
          <xdr:colOff>285750</xdr:colOff>
          <xdr:row>53</xdr:row>
          <xdr:rowOff>238125</xdr:rowOff>
        </xdr:to>
        <xdr:sp macro="" textlink="">
          <xdr:nvSpPr>
            <xdr:cNvPr id="36897" name="CheckBox30" hidden="1">
              <a:extLst>
                <a:ext uri="{63B3BB69-23CF-44E3-9099-C40C66FF867C}">
                  <a14:compatExt spid="_x0000_s368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54</xdr:row>
          <xdr:rowOff>57150</xdr:rowOff>
        </xdr:from>
        <xdr:to>
          <xdr:col>1</xdr:col>
          <xdr:colOff>285750</xdr:colOff>
          <xdr:row>54</xdr:row>
          <xdr:rowOff>228600</xdr:rowOff>
        </xdr:to>
        <xdr:sp macro="" textlink="">
          <xdr:nvSpPr>
            <xdr:cNvPr id="36898" name="CheckBox31" hidden="1">
              <a:extLst>
                <a:ext uri="{63B3BB69-23CF-44E3-9099-C40C66FF867C}">
                  <a14:compatExt spid="_x0000_s368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104775</xdr:colOff>
      <xdr:row>4</xdr:row>
      <xdr:rowOff>114300</xdr:rowOff>
    </xdr:from>
    <xdr:to>
      <xdr:col>6</xdr:col>
      <xdr:colOff>257175</xdr:colOff>
      <xdr:row>6</xdr:row>
      <xdr:rowOff>85725</xdr:rowOff>
    </xdr:to>
    <xdr:sp macro="" textlink="">
      <xdr:nvSpPr>
        <xdr:cNvPr id="2" name="テキスト ボックス 1"/>
        <xdr:cNvSpPr txBox="1"/>
      </xdr:nvSpPr>
      <xdr:spPr>
        <a:xfrm>
          <a:off x="104775" y="114300"/>
          <a:ext cx="4838700" cy="3143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ja-JP" altLang="en-US" sz="2400">
              <a:latin typeface="+mn-ea"/>
              <a:ea typeface="+mn-ea"/>
              <a:cs typeface="Meiryo UI" panose="020B0604030504040204" pitchFamily="50" charset="-128"/>
            </a:rPr>
            <a:t>紹介カード発行手続（分譲・戸建等）</a:t>
          </a:r>
        </a:p>
      </xdr:txBody>
    </xdr:sp>
    <xdr:clientData/>
  </xdr:twoCellAnchor>
  <mc:AlternateContent xmlns:mc="http://schemas.openxmlformats.org/markup-compatibility/2006">
    <mc:Choice xmlns:a14="http://schemas.microsoft.com/office/drawing/2010/main" Requires="a14">
      <xdr:twoCellAnchor editAs="oneCell">
        <xdr:from>
          <xdr:col>5</xdr:col>
          <xdr:colOff>57150</xdr:colOff>
          <xdr:row>73</xdr:row>
          <xdr:rowOff>38100</xdr:rowOff>
        </xdr:from>
        <xdr:to>
          <xdr:col>5</xdr:col>
          <xdr:colOff>247650</xdr:colOff>
          <xdr:row>74</xdr:row>
          <xdr:rowOff>38100</xdr:rowOff>
        </xdr:to>
        <xdr:sp macro="" textlink="">
          <xdr:nvSpPr>
            <xdr:cNvPr id="36899" name="CheckBox41" hidden="1">
              <a:extLst>
                <a:ext uri="{63B3BB69-23CF-44E3-9099-C40C66FF867C}">
                  <a14:compatExt spid="_x0000_s368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105834</xdr:colOff>
      <xdr:row>0</xdr:row>
      <xdr:rowOff>95251</xdr:rowOff>
    </xdr:from>
    <xdr:to>
      <xdr:col>2</xdr:col>
      <xdr:colOff>2222500</xdr:colOff>
      <xdr:row>4</xdr:row>
      <xdr:rowOff>63501</xdr:rowOff>
    </xdr:to>
    <xdr:sp macro="" textlink="">
      <xdr:nvSpPr>
        <xdr:cNvPr id="36" name="正方形/長方形 35"/>
        <xdr:cNvSpPr/>
      </xdr:nvSpPr>
      <xdr:spPr>
        <a:xfrm>
          <a:off x="254001" y="95251"/>
          <a:ext cx="2434166" cy="645583"/>
        </a:xfrm>
        <a:prstGeom prst="rect">
          <a:avLst/>
        </a:prstGeom>
        <a:noFill/>
        <a:ln>
          <a:solidFill>
            <a:schemeClr val="tx1"/>
          </a:solidFill>
        </a:ln>
        <a:effectLst/>
      </xdr:spPr>
      <xdr:style>
        <a:lnRef idx="1">
          <a:schemeClr val="accent1"/>
        </a:lnRef>
        <a:fillRef idx="3">
          <a:schemeClr val="accent1"/>
        </a:fillRef>
        <a:effectRef idx="2">
          <a:schemeClr val="accent1"/>
        </a:effectRef>
        <a:fontRef idx="minor">
          <a:schemeClr val="lt1"/>
        </a:fontRef>
      </xdr:style>
      <xdr:txBody>
        <a:bodyPr wrap="square" rtlCol="0" anchor="ctr"/>
        <a:lstStyle>
          <a:defPPr>
            <a:defRPr lang="en-US"/>
          </a:defPPr>
          <a:lvl1pPr marL="0" algn="l" defTabSz="457133" rtl="0" eaLnBrk="1" latinLnBrk="0" hangingPunct="1">
            <a:defRPr sz="1800" kern="1200">
              <a:solidFill>
                <a:schemeClr val="lt1"/>
              </a:solidFill>
              <a:latin typeface="+mn-lt"/>
              <a:ea typeface="+mn-ea"/>
              <a:cs typeface="+mn-cs"/>
            </a:defRPr>
          </a:lvl1pPr>
          <a:lvl2pPr marL="457133" algn="l" defTabSz="457133" rtl="0" eaLnBrk="1" latinLnBrk="0" hangingPunct="1">
            <a:defRPr sz="1800" kern="1200">
              <a:solidFill>
                <a:schemeClr val="lt1"/>
              </a:solidFill>
              <a:latin typeface="+mn-lt"/>
              <a:ea typeface="+mn-ea"/>
              <a:cs typeface="+mn-cs"/>
            </a:defRPr>
          </a:lvl2pPr>
          <a:lvl3pPr marL="914268" algn="l" defTabSz="457133" rtl="0" eaLnBrk="1" latinLnBrk="0" hangingPunct="1">
            <a:defRPr sz="1800" kern="1200">
              <a:solidFill>
                <a:schemeClr val="lt1"/>
              </a:solidFill>
              <a:latin typeface="+mn-lt"/>
              <a:ea typeface="+mn-ea"/>
              <a:cs typeface="+mn-cs"/>
            </a:defRPr>
          </a:lvl3pPr>
          <a:lvl4pPr marL="1371401" algn="l" defTabSz="457133" rtl="0" eaLnBrk="1" latinLnBrk="0" hangingPunct="1">
            <a:defRPr sz="1800" kern="1200">
              <a:solidFill>
                <a:schemeClr val="lt1"/>
              </a:solidFill>
              <a:latin typeface="+mn-lt"/>
              <a:ea typeface="+mn-ea"/>
              <a:cs typeface="+mn-cs"/>
            </a:defRPr>
          </a:lvl4pPr>
          <a:lvl5pPr marL="1828535" algn="l" defTabSz="457133" rtl="0" eaLnBrk="1" latinLnBrk="0" hangingPunct="1">
            <a:defRPr sz="1800" kern="1200">
              <a:solidFill>
                <a:schemeClr val="lt1"/>
              </a:solidFill>
              <a:latin typeface="+mn-lt"/>
              <a:ea typeface="+mn-ea"/>
              <a:cs typeface="+mn-cs"/>
            </a:defRPr>
          </a:lvl5pPr>
          <a:lvl6pPr marL="2285669" algn="l" defTabSz="457133" rtl="0" eaLnBrk="1" latinLnBrk="0" hangingPunct="1">
            <a:defRPr sz="1800" kern="1200">
              <a:solidFill>
                <a:schemeClr val="lt1"/>
              </a:solidFill>
              <a:latin typeface="+mn-lt"/>
              <a:ea typeface="+mn-ea"/>
              <a:cs typeface="+mn-cs"/>
            </a:defRPr>
          </a:lvl6pPr>
          <a:lvl7pPr marL="2742803" algn="l" defTabSz="457133" rtl="0" eaLnBrk="1" latinLnBrk="0" hangingPunct="1">
            <a:defRPr sz="1800" kern="1200">
              <a:solidFill>
                <a:schemeClr val="lt1"/>
              </a:solidFill>
              <a:latin typeface="+mn-lt"/>
              <a:ea typeface="+mn-ea"/>
              <a:cs typeface="+mn-cs"/>
            </a:defRPr>
          </a:lvl7pPr>
          <a:lvl8pPr marL="3199936" algn="l" defTabSz="457133" rtl="0" eaLnBrk="1" latinLnBrk="0" hangingPunct="1">
            <a:defRPr sz="1800" kern="1200">
              <a:solidFill>
                <a:schemeClr val="lt1"/>
              </a:solidFill>
              <a:latin typeface="+mn-lt"/>
              <a:ea typeface="+mn-ea"/>
              <a:cs typeface="+mn-cs"/>
            </a:defRPr>
          </a:lvl8pPr>
          <a:lvl9pPr marL="3657070" algn="l" defTabSz="457133" rtl="0" eaLnBrk="1" latinLnBrk="0" hangingPunct="1">
            <a:defRPr sz="1800" kern="1200">
              <a:solidFill>
                <a:schemeClr val="lt1"/>
              </a:solidFill>
              <a:latin typeface="+mn-lt"/>
              <a:ea typeface="+mn-ea"/>
              <a:cs typeface="+mn-cs"/>
            </a:defRPr>
          </a:lvl9pPr>
        </a:lstStyle>
        <a:p>
          <a:r>
            <a:rPr kumimoji="1" lang="ja-JP" altLang="en-US" sz="1100">
              <a:solidFill>
                <a:schemeClr val="tx1"/>
              </a:solidFill>
            </a:rPr>
            <a:t>情報種別：秘密（関係者限り）</a:t>
          </a:r>
          <a:endParaRPr kumimoji="1" lang="en-US" altLang="ja-JP" sz="1100">
            <a:solidFill>
              <a:schemeClr val="tx1"/>
            </a:solidFill>
          </a:endParaRPr>
        </a:p>
        <a:p>
          <a:r>
            <a:rPr lang="ja-JP" altLang="en-US" sz="1100">
              <a:solidFill>
                <a:schemeClr val="tx1"/>
              </a:solidFill>
            </a:rPr>
            <a:t>会社名：</a:t>
          </a:r>
          <a:r>
            <a:rPr lang="en-US" altLang="ja-JP" sz="1100">
              <a:solidFill>
                <a:schemeClr val="tx1"/>
              </a:solidFill>
            </a:rPr>
            <a:t>NTT</a:t>
          </a:r>
          <a:r>
            <a:rPr lang="ja-JP" altLang="en-US" sz="1100">
              <a:solidFill>
                <a:schemeClr val="tx1"/>
              </a:solidFill>
            </a:rPr>
            <a:t>ﾃﾞｰﾀﾏﾈｼﾞﾒﾝﾄｻｰﾋﾞｽ</a:t>
          </a:r>
          <a:endParaRPr lang="en-US" altLang="ja-JP" sz="1100">
            <a:solidFill>
              <a:schemeClr val="tx1"/>
            </a:solidFill>
          </a:endParaRPr>
        </a:p>
        <a:p>
          <a:r>
            <a:rPr kumimoji="1" lang="ja-JP" altLang="en-US" sz="1100">
              <a:solidFill>
                <a:schemeClr val="tx1"/>
              </a:solidFill>
            </a:rPr>
            <a:t>情報所有者：人事ｻｰﾋﾞｽ事業部</a:t>
          </a:r>
        </a:p>
      </xdr:txBody>
    </xdr:sp>
    <xdr:clientData/>
  </xdr:twoCellAnchor>
  <mc:AlternateContent xmlns:mc="http://schemas.openxmlformats.org/markup-compatibility/2006">
    <mc:Choice xmlns:a14="http://schemas.microsoft.com/office/drawing/2010/main" Requires="a14">
      <xdr:twoCellAnchor editAs="oneCell">
        <xdr:from>
          <xdr:col>1</xdr:col>
          <xdr:colOff>95250</xdr:colOff>
          <xdr:row>55</xdr:row>
          <xdr:rowOff>66675</xdr:rowOff>
        </xdr:from>
        <xdr:to>
          <xdr:col>1</xdr:col>
          <xdr:colOff>285750</xdr:colOff>
          <xdr:row>55</xdr:row>
          <xdr:rowOff>238125</xdr:rowOff>
        </xdr:to>
        <xdr:sp macro="" textlink="">
          <xdr:nvSpPr>
            <xdr:cNvPr id="36900" name="CheckBox32" hidden="1">
              <a:extLst>
                <a:ext uri="{63B3BB69-23CF-44E3-9099-C40C66FF867C}">
                  <a14:compatExt spid="_x0000_s36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56</xdr:row>
          <xdr:rowOff>66675</xdr:rowOff>
        </xdr:from>
        <xdr:to>
          <xdr:col>1</xdr:col>
          <xdr:colOff>285750</xdr:colOff>
          <xdr:row>56</xdr:row>
          <xdr:rowOff>238125</xdr:rowOff>
        </xdr:to>
        <xdr:sp macro="" textlink="">
          <xdr:nvSpPr>
            <xdr:cNvPr id="36901" name="CheckBox33" hidden="1">
              <a:extLst>
                <a:ext uri="{63B3BB69-23CF-44E3-9099-C40C66FF867C}">
                  <a14:compatExt spid="_x0000_s369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57</xdr:row>
          <xdr:rowOff>66675</xdr:rowOff>
        </xdr:from>
        <xdr:to>
          <xdr:col>1</xdr:col>
          <xdr:colOff>285750</xdr:colOff>
          <xdr:row>57</xdr:row>
          <xdr:rowOff>238125</xdr:rowOff>
        </xdr:to>
        <xdr:sp macro="" textlink="">
          <xdr:nvSpPr>
            <xdr:cNvPr id="36902" name="CheckBox34" hidden="1">
              <a:extLst>
                <a:ext uri="{63B3BB69-23CF-44E3-9099-C40C66FF867C}">
                  <a14:compatExt spid="_x0000_s369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58</xdr:row>
          <xdr:rowOff>66675</xdr:rowOff>
        </xdr:from>
        <xdr:to>
          <xdr:col>1</xdr:col>
          <xdr:colOff>285750</xdr:colOff>
          <xdr:row>58</xdr:row>
          <xdr:rowOff>238125</xdr:rowOff>
        </xdr:to>
        <xdr:sp macro="" textlink="">
          <xdr:nvSpPr>
            <xdr:cNvPr id="36903" name="CheckBox35" hidden="1">
              <a:extLst>
                <a:ext uri="{63B3BB69-23CF-44E3-9099-C40C66FF867C}">
                  <a14:compatExt spid="_x0000_s369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59</xdr:row>
          <xdr:rowOff>66675</xdr:rowOff>
        </xdr:from>
        <xdr:to>
          <xdr:col>1</xdr:col>
          <xdr:colOff>285750</xdr:colOff>
          <xdr:row>59</xdr:row>
          <xdr:rowOff>238125</xdr:rowOff>
        </xdr:to>
        <xdr:sp macro="" textlink="">
          <xdr:nvSpPr>
            <xdr:cNvPr id="36904" name="CheckBox36" hidden="1">
              <a:extLst>
                <a:ext uri="{63B3BB69-23CF-44E3-9099-C40C66FF867C}">
                  <a14:compatExt spid="_x0000_s369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60</xdr:row>
          <xdr:rowOff>76200</xdr:rowOff>
        </xdr:from>
        <xdr:to>
          <xdr:col>1</xdr:col>
          <xdr:colOff>285750</xdr:colOff>
          <xdr:row>60</xdr:row>
          <xdr:rowOff>247650</xdr:rowOff>
        </xdr:to>
        <xdr:sp macro="" textlink="">
          <xdr:nvSpPr>
            <xdr:cNvPr id="36905" name="CheckBox37" hidden="1">
              <a:extLst>
                <a:ext uri="{63B3BB69-23CF-44E3-9099-C40C66FF867C}">
                  <a14:compatExt spid="_x0000_s36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61</xdr:row>
          <xdr:rowOff>57150</xdr:rowOff>
        </xdr:from>
        <xdr:to>
          <xdr:col>1</xdr:col>
          <xdr:colOff>285750</xdr:colOff>
          <xdr:row>61</xdr:row>
          <xdr:rowOff>228600</xdr:rowOff>
        </xdr:to>
        <xdr:sp macro="" textlink="">
          <xdr:nvSpPr>
            <xdr:cNvPr id="36906" name="CheckBox38" hidden="1">
              <a:extLst>
                <a:ext uri="{63B3BB69-23CF-44E3-9099-C40C66FF867C}">
                  <a14:compatExt spid="_x0000_s36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62</xdr:row>
          <xdr:rowOff>66675</xdr:rowOff>
        </xdr:from>
        <xdr:to>
          <xdr:col>1</xdr:col>
          <xdr:colOff>285750</xdr:colOff>
          <xdr:row>62</xdr:row>
          <xdr:rowOff>238125</xdr:rowOff>
        </xdr:to>
        <xdr:sp macro="" textlink="">
          <xdr:nvSpPr>
            <xdr:cNvPr id="36907" name="CheckBox39" hidden="1">
              <a:extLst>
                <a:ext uri="{63B3BB69-23CF-44E3-9099-C40C66FF867C}">
                  <a14:compatExt spid="_x0000_s369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63</xdr:row>
          <xdr:rowOff>66675</xdr:rowOff>
        </xdr:from>
        <xdr:to>
          <xdr:col>1</xdr:col>
          <xdr:colOff>285750</xdr:colOff>
          <xdr:row>63</xdr:row>
          <xdr:rowOff>238125</xdr:rowOff>
        </xdr:to>
        <xdr:sp macro="" textlink="">
          <xdr:nvSpPr>
            <xdr:cNvPr id="36908" name="CheckBox40" hidden="1">
              <a:extLst>
                <a:ext uri="{63B3BB69-23CF-44E3-9099-C40C66FF867C}">
                  <a14:compatExt spid="_x0000_s369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973666</xdr:colOff>
      <xdr:row>72</xdr:row>
      <xdr:rowOff>127001</xdr:rowOff>
    </xdr:from>
    <xdr:to>
      <xdr:col>5</xdr:col>
      <xdr:colOff>275166</xdr:colOff>
      <xdr:row>74</xdr:row>
      <xdr:rowOff>63501</xdr:rowOff>
    </xdr:to>
    <xdr:sp macro="" textlink="">
      <xdr:nvSpPr>
        <xdr:cNvPr id="3" name="正方形/長方形 2"/>
        <xdr:cNvSpPr/>
      </xdr:nvSpPr>
      <xdr:spPr>
        <a:xfrm>
          <a:off x="5122333" y="17166168"/>
          <a:ext cx="296333" cy="275166"/>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1</xdr:col>
          <xdr:colOff>95250</xdr:colOff>
          <xdr:row>65</xdr:row>
          <xdr:rowOff>66675</xdr:rowOff>
        </xdr:from>
        <xdr:to>
          <xdr:col>1</xdr:col>
          <xdr:colOff>285750</xdr:colOff>
          <xdr:row>65</xdr:row>
          <xdr:rowOff>238125</xdr:rowOff>
        </xdr:to>
        <xdr:sp macro="" textlink="">
          <xdr:nvSpPr>
            <xdr:cNvPr id="36909" name="CheckBox42" hidden="1">
              <a:extLst>
                <a:ext uri="{63B3BB69-23CF-44E3-9099-C40C66FF867C}">
                  <a14:compatExt spid="_x0000_s369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40</xdr:row>
          <xdr:rowOff>57150</xdr:rowOff>
        </xdr:from>
        <xdr:to>
          <xdr:col>1</xdr:col>
          <xdr:colOff>276225</xdr:colOff>
          <xdr:row>40</xdr:row>
          <xdr:rowOff>228600</xdr:rowOff>
        </xdr:to>
        <xdr:sp macro="" textlink="">
          <xdr:nvSpPr>
            <xdr:cNvPr id="36912" name="CheckBox43" hidden="1">
              <a:extLst>
                <a:ext uri="{63B3BB69-23CF-44E3-9099-C40C66FF867C}">
                  <a14:compatExt spid="_x0000_s369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34</xdr:row>
          <xdr:rowOff>57150</xdr:rowOff>
        </xdr:from>
        <xdr:to>
          <xdr:col>1</xdr:col>
          <xdr:colOff>276225</xdr:colOff>
          <xdr:row>34</xdr:row>
          <xdr:rowOff>228600</xdr:rowOff>
        </xdr:to>
        <xdr:sp macro="" textlink="">
          <xdr:nvSpPr>
            <xdr:cNvPr id="36913" name="CheckBox44" hidden="1">
              <a:extLst>
                <a:ext uri="{63B3BB69-23CF-44E3-9099-C40C66FF867C}">
                  <a14:compatExt spid="_x0000_s36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64</xdr:row>
          <xdr:rowOff>57150</xdr:rowOff>
        </xdr:from>
        <xdr:to>
          <xdr:col>1</xdr:col>
          <xdr:colOff>276225</xdr:colOff>
          <xdr:row>64</xdr:row>
          <xdr:rowOff>228600</xdr:rowOff>
        </xdr:to>
        <xdr:sp macro="" textlink="">
          <xdr:nvSpPr>
            <xdr:cNvPr id="36914" name="CheckBox45" hidden="1">
              <a:extLst>
                <a:ext uri="{63B3BB69-23CF-44E3-9099-C40C66FF867C}">
                  <a14:compatExt spid="_x0000_s369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21173</xdr:colOff>
      <xdr:row>5</xdr:row>
      <xdr:rowOff>28575</xdr:rowOff>
    </xdr:from>
    <xdr:to>
      <xdr:col>13</xdr:col>
      <xdr:colOff>31751</xdr:colOff>
      <xdr:row>11</xdr:row>
      <xdr:rowOff>137583</xdr:rowOff>
    </xdr:to>
    <xdr:sp macro="" textlink="">
      <xdr:nvSpPr>
        <xdr:cNvPr id="2" name="テキスト ボックス 1"/>
        <xdr:cNvSpPr txBox="1"/>
      </xdr:nvSpPr>
      <xdr:spPr>
        <a:xfrm>
          <a:off x="3878798" y="885825"/>
          <a:ext cx="3401478" cy="11377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ja-JP" sz="1100" b="0" i="0" u="none" strike="noStrike">
              <a:solidFill>
                <a:schemeClr val="dk1"/>
              </a:solidFill>
              <a:effectLst/>
              <a:latin typeface="+mn-lt"/>
              <a:ea typeface="+mn-ea"/>
              <a:cs typeface="+mn-cs"/>
            </a:rPr>
            <a:t>【</a:t>
          </a:r>
          <a:r>
            <a:rPr lang="ja-JP" altLang="en-US" sz="1100" b="0" i="0" u="none" strike="noStrike">
              <a:solidFill>
                <a:schemeClr val="dk1"/>
              </a:solidFill>
              <a:effectLst/>
              <a:latin typeface="+mn-lt"/>
              <a:ea typeface="+mn-ea"/>
              <a:cs typeface="+mn-cs"/>
            </a:rPr>
            <a:t>紹介元</a:t>
          </a:r>
          <a:r>
            <a:rPr lang="en-US" altLang="ja-JP" sz="1100" b="0" i="0" u="none" strike="noStrike">
              <a:solidFill>
                <a:schemeClr val="dk1"/>
              </a:solidFill>
              <a:effectLst/>
              <a:latin typeface="+mn-lt"/>
              <a:ea typeface="+mn-ea"/>
              <a:cs typeface="+mn-cs"/>
            </a:rPr>
            <a:t>】</a:t>
          </a:r>
          <a:r>
            <a:rPr lang="ja-JP" altLang="en-US"/>
            <a:t> </a:t>
          </a:r>
          <a:endParaRPr lang="en-US" altLang="ja-JP"/>
        </a:p>
        <a:p>
          <a:r>
            <a:rPr lang="ja-JP" altLang="en-US" sz="1100" b="0" i="0" u="none" strike="noStrike">
              <a:solidFill>
                <a:schemeClr val="dk1"/>
              </a:solidFill>
              <a:effectLst/>
              <a:latin typeface="+mn-lt"/>
              <a:ea typeface="+mn-ea"/>
              <a:cs typeface="+mn-cs"/>
            </a:rPr>
            <a:t>ＮＴＴデータマネジメントサービス株式会社</a:t>
          </a:r>
          <a:r>
            <a:rPr lang="ja-JP" altLang="en-US"/>
            <a:t> </a:t>
          </a:r>
          <a:endParaRPr lang="en-US" altLang="ja-JP"/>
        </a:p>
        <a:p>
          <a:r>
            <a:rPr lang="ja-JP" altLang="en-US" sz="1100" b="0" i="0" u="none" strike="noStrike">
              <a:solidFill>
                <a:schemeClr val="dk1"/>
              </a:solidFill>
              <a:effectLst/>
              <a:latin typeface="+mn-lt"/>
              <a:ea typeface="+mn-ea"/>
              <a:cs typeface="+mn-cs"/>
            </a:rPr>
            <a:t>人事サービス事業部　福利厚生サービス部</a:t>
          </a:r>
          <a:r>
            <a:rPr lang="ja-JP" altLang="en-US"/>
            <a:t> </a:t>
          </a:r>
          <a:endParaRPr lang="en-US" altLang="ja-JP"/>
        </a:p>
        <a:p>
          <a:r>
            <a:rPr lang="ja-JP" altLang="en-US" sz="1100" b="0" i="0" u="none" strike="noStrike">
              <a:solidFill>
                <a:schemeClr val="dk1"/>
              </a:solidFill>
              <a:effectLst/>
              <a:latin typeface="+mn-lt"/>
              <a:ea typeface="+mn-ea"/>
              <a:cs typeface="+mn-cs"/>
            </a:rPr>
            <a:t>ＮＴＴデータグループ住宅友の会事務局</a:t>
          </a:r>
          <a:endParaRPr lang="en-US" altLang="ja-JP" sz="1100" b="0" i="0" u="none" strike="noStrike">
            <a:solidFill>
              <a:schemeClr val="dk1"/>
            </a:solidFill>
            <a:effectLst/>
            <a:latin typeface="+mn-lt"/>
            <a:ea typeface="+mn-ea"/>
            <a:cs typeface="+mn-cs"/>
          </a:endParaRPr>
        </a:p>
        <a:p>
          <a:r>
            <a:rPr lang="en-US" altLang="ja-JP" sz="1100" b="0" i="0" u="none" strike="noStrike">
              <a:solidFill>
                <a:schemeClr val="dk1"/>
              </a:solidFill>
              <a:effectLst/>
              <a:latin typeface="+mn-lt"/>
              <a:ea typeface="+mn-ea"/>
              <a:cs typeface="+mn-cs"/>
            </a:rPr>
            <a:t>TEL 050-5546-8138</a:t>
          </a:r>
          <a:r>
            <a:rPr lang="ja-JP" altLang="en-US" sz="1100" b="0" i="0" u="none" strike="noStrike">
              <a:solidFill>
                <a:schemeClr val="dk1"/>
              </a:solidFill>
              <a:effectLst/>
              <a:latin typeface="+mn-lt"/>
              <a:ea typeface="+mn-ea"/>
              <a:cs typeface="+mn-cs"/>
            </a:rPr>
            <a:t>　</a:t>
          </a:r>
          <a:r>
            <a:rPr lang="en-US" altLang="ja-JP" sz="1100" b="0" i="0" u="none" strike="noStrike">
              <a:solidFill>
                <a:schemeClr val="dk1"/>
              </a:solidFill>
              <a:effectLst/>
              <a:latin typeface="+mn-lt"/>
              <a:ea typeface="+mn-ea"/>
              <a:cs typeface="+mn-cs"/>
            </a:rPr>
            <a:t>FAX 03-5546-8139</a:t>
          </a:r>
          <a:r>
            <a:rPr lang="en-US" altLang="ja-JP"/>
            <a:t> </a:t>
          </a:r>
          <a:endParaRPr kumimoji="1" lang="ja-JP" altLang="en-US" sz="1100"/>
        </a:p>
      </xdr:txBody>
    </xdr:sp>
    <xdr:clientData/>
  </xdr:twoCellAnchor>
  <xdr:twoCellAnchor>
    <xdr:from>
      <xdr:col>0</xdr:col>
      <xdr:colOff>158749</xdr:colOff>
      <xdr:row>48</xdr:row>
      <xdr:rowOff>95248</xdr:rowOff>
    </xdr:from>
    <xdr:to>
      <xdr:col>13</xdr:col>
      <xdr:colOff>719666</xdr:colOff>
      <xdr:row>69</xdr:row>
      <xdr:rowOff>105833</xdr:rowOff>
    </xdr:to>
    <xdr:grpSp>
      <xdr:nvGrpSpPr>
        <xdr:cNvPr id="3" name="グループ化 2"/>
        <xdr:cNvGrpSpPr/>
      </xdr:nvGrpSpPr>
      <xdr:grpSpPr>
        <a:xfrm>
          <a:off x="158749" y="9958915"/>
          <a:ext cx="7799917" cy="3566585"/>
          <a:chOff x="137583" y="9673168"/>
          <a:chExt cx="7048500" cy="3566586"/>
        </a:xfrm>
      </xdr:grpSpPr>
      <xdr:grpSp>
        <xdr:nvGrpSpPr>
          <xdr:cNvPr id="4" name="グループ化 3"/>
          <xdr:cNvGrpSpPr/>
        </xdr:nvGrpSpPr>
        <xdr:grpSpPr>
          <a:xfrm>
            <a:off x="137583" y="9673168"/>
            <a:ext cx="7048500" cy="3566586"/>
            <a:chOff x="137583" y="9588501"/>
            <a:chExt cx="7313084" cy="3566586"/>
          </a:xfrm>
        </xdr:grpSpPr>
        <xdr:sp macro="" textlink="">
          <xdr:nvSpPr>
            <xdr:cNvPr id="12" name="正方形/長方形 11"/>
            <xdr:cNvSpPr/>
          </xdr:nvSpPr>
          <xdr:spPr>
            <a:xfrm>
              <a:off x="137583" y="9588501"/>
              <a:ext cx="7313084" cy="3566586"/>
            </a:xfrm>
            <a:prstGeom prst="rect">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3" name="正方形/長方形 12"/>
            <xdr:cNvSpPr/>
          </xdr:nvSpPr>
          <xdr:spPr>
            <a:xfrm>
              <a:off x="148166" y="9599085"/>
              <a:ext cx="2317751" cy="275166"/>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n>
                  <a:solidFill>
                    <a:schemeClr val="bg1"/>
                  </a:solidFill>
                </a:ln>
                <a:solidFill>
                  <a:schemeClr val="bg1"/>
                </a:solidFill>
              </a:endParaRPr>
            </a:p>
          </xdr:txBody>
        </xdr:sp>
        <xdr:sp macro="" textlink="">
          <xdr:nvSpPr>
            <xdr:cNvPr id="14" name="Text Box 7"/>
            <xdr:cNvSpPr txBox="1">
              <a:spLocks noChangeArrowheads="1"/>
            </xdr:cNvSpPr>
          </xdr:nvSpPr>
          <xdr:spPr bwMode="auto">
            <a:xfrm>
              <a:off x="201091" y="9630833"/>
              <a:ext cx="2180159" cy="264582"/>
            </a:xfrm>
            <a:prstGeom prst="rect">
              <a:avLst/>
            </a:prstGeom>
            <a:noFill/>
            <a:ln w="9525">
              <a:noFill/>
              <a:miter lim="800000"/>
              <a:headEnd/>
              <a:tailEnd/>
            </a:ln>
          </xdr:spPr>
          <xdr:txBody>
            <a:bodyPr vertOverflow="clip" wrap="square" lIns="27432" tIns="18288" rIns="0" bIns="0" anchor="t" upright="1"/>
            <a:lstStyle/>
            <a:p>
              <a:pPr algn="l" rtl="0">
                <a:lnSpc>
                  <a:spcPts val="1300"/>
                </a:lnSpc>
                <a:defRPr sz="1000"/>
              </a:pPr>
              <a:r>
                <a:rPr lang="ja-JP" altLang="en-US" sz="1400" b="1" i="0" u="none" strike="noStrike" baseline="0">
                  <a:solidFill>
                    <a:schemeClr val="bg1"/>
                  </a:solidFill>
                  <a:latin typeface="ＭＳ Ｐゴシック"/>
                  <a:ea typeface="ＭＳ Ｐゴシック"/>
                </a:rPr>
                <a:t>≪紹介カード利用フロー≫</a:t>
              </a:r>
            </a:p>
          </xdr:txBody>
        </xdr:sp>
      </xdr:grpSp>
      <xdr:sp macro="" textlink="">
        <xdr:nvSpPr>
          <xdr:cNvPr id="5" name="テキスト ボックス 4"/>
          <xdr:cNvSpPr txBox="1"/>
        </xdr:nvSpPr>
        <xdr:spPr>
          <a:xfrm>
            <a:off x="222250" y="10001252"/>
            <a:ext cx="6813016" cy="508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①必要事項を入力する。</a:t>
            </a:r>
            <a:endParaRPr kumimoji="1" lang="en-US" altLang="ja-JP" sz="1100"/>
          </a:p>
          <a:p>
            <a:r>
              <a:rPr kumimoji="1" lang="en-US" altLang="ja-JP" sz="1100"/>
              <a:t>※</a:t>
            </a:r>
            <a:r>
              <a:rPr kumimoji="1" lang="ja-JP" altLang="en-US" sz="1100"/>
              <a:t>最上部に「提出可」の判定が出るまで内容を確認してください。</a:t>
            </a:r>
          </a:p>
        </xdr:txBody>
      </xdr:sp>
      <xdr:sp macro="" textlink="">
        <xdr:nvSpPr>
          <xdr:cNvPr id="6" name="テキスト ボックス 5"/>
          <xdr:cNvSpPr txBox="1"/>
        </xdr:nvSpPr>
        <xdr:spPr>
          <a:xfrm>
            <a:off x="222250" y="10699753"/>
            <a:ext cx="6813016" cy="4868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②事務局まで記入済紹介カードを送付する。</a:t>
            </a:r>
            <a:endParaRPr kumimoji="1" lang="en-US" altLang="ja-JP" sz="1100"/>
          </a:p>
          <a:p>
            <a:r>
              <a:rPr kumimoji="1" lang="en-US" altLang="ja-JP" sz="1100">
                <a:solidFill>
                  <a:srgbClr val="FF0000"/>
                </a:solidFill>
              </a:rPr>
              <a:t>※</a:t>
            </a:r>
            <a:r>
              <a:rPr kumimoji="1" lang="ja-JP" altLang="en-US" sz="1100">
                <a:solidFill>
                  <a:srgbClr val="FF0000"/>
                </a:solidFill>
              </a:rPr>
              <a:t>送付先に誤りがないようご注意ください。</a:t>
            </a:r>
            <a:endParaRPr kumimoji="1" lang="en-US" altLang="ja-JP" sz="1100">
              <a:solidFill>
                <a:srgbClr val="FF0000"/>
              </a:solidFill>
            </a:endParaRPr>
          </a:p>
        </xdr:txBody>
      </xdr:sp>
      <xdr:sp macro="" textlink="">
        <xdr:nvSpPr>
          <xdr:cNvPr id="7" name="テキスト ボックス 6"/>
          <xdr:cNvSpPr txBox="1"/>
        </xdr:nvSpPr>
        <xdr:spPr>
          <a:xfrm>
            <a:off x="222250" y="12715112"/>
            <a:ext cx="6813016" cy="3704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④成約に至ると、割引特典が受けられます。</a:t>
            </a:r>
            <a:endParaRPr kumimoji="1" lang="en-US" altLang="ja-JP" sz="1100"/>
          </a:p>
        </xdr:txBody>
      </xdr:sp>
      <xdr:sp macro="" textlink="">
        <xdr:nvSpPr>
          <xdr:cNvPr id="8" name="下矢印 7"/>
          <xdr:cNvSpPr/>
        </xdr:nvSpPr>
        <xdr:spPr>
          <a:xfrm>
            <a:off x="719667" y="10424584"/>
            <a:ext cx="423333" cy="28575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テキスト ボックス 8"/>
          <xdr:cNvSpPr txBox="1"/>
        </xdr:nvSpPr>
        <xdr:spPr bwMode="auto">
          <a:xfrm>
            <a:off x="211663" y="11377083"/>
            <a:ext cx="6813016" cy="11155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③受領確認メールが届いたら、紹介カードを印刷し、不動産会社へ提出する。</a:t>
            </a:r>
            <a:endParaRPr kumimoji="1" lang="en-US" altLang="ja-JP" sz="1100"/>
          </a:p>
          <a:p>
            <a:r>
              <a:rPr kumimoji="1" lang="en-US" altLang="ja-JP" sz="1100">
                <a:solidFill>
                  <a:srgbClr val="FF0000"/>
                </a:solidFill>
              </a:rPr>
              <a:t>※</a:t>
            </a:r>
            <a:r>
              <a:rPr kumimoji="1" lang="ja-JP" altLang="en-US" sz="1100">
                <a:solidFill>
                  <a:srgbClr val="FF0000"/>
                </a:solidFill>
              </a:rPr>
              <a:t>原則、初回訪問時の提出が必要となりますので、ご注意ください。</a:t>
            </a:r>
            <a:endParaRPr kumimoji="1" lang="en-US" altLang="ja-JP" sz="1100">
              <a:solidFill>
                <a:srgbClr val="FF0000"/>
              </a:solidFill>
            </a:endParaRPr>
          </a:p>
          <a:p>
            <a:r>
              <a:rPr kumimoji="1" lang="en-US" altLang="ja-JP" sz="1100"/>
              <a:t>※</a:t>
            </a:r>
            <a:r>
              <a:rPr kumimoji="1" lang="ja-JP" altLang="en-US" sz="1100"/>
              <a:t>事務局の営業時間は平日のみとなります。</a:t>
            </a:r>
            <a:r>
              <a:rPr kumimoji="1" lang="ja-JP" altLang="en-US" sz="1100">
                <a:solidFill>
                  <a:srgbClr val="FF0000"/>
                </a:solidFill>
              </a:rPr>
              <a:t>時間に余裕をもってご準備いただきますようお願いいたします。</a:t>
            </a:r>
            <a:endParaRPr kumimoji="1" lang="en-US" altLang="ja-JP" sz="1100">
              <a:solidFill>
                <a:srgbClr val="FF0000"/>
              </a:solidFill>
            </a:endParaRP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rgbClr val="FF0000"/>
                </a:solidFill>
                <a:effectLst/>
                <a:latin typeface="+mn-lt"/>
                <a:ea typeface="+mn-ea"/>
                <a:cs typeface="+mn-cs"/>
              </a:rPr>
              <a:t>※</a:t>
            </a:r>
            <a:r>
              <a:rPr kumimoji="1" lang="ja-JP" altLang="ja-JP" sz="1100">
                <a:solidFill>
                  <a:srgbClr val="FF0000"/>
                </a:solidFill>
                <a:effectLst/>
                <a:latin typeface="+mn-lt"/>
                <a:ea typeface="+mn-ea"/>
                <a:cs typeface="+mn-cs"/>
              </a:rPr>
              <a:t>休日に紹介カードのメールをお送りいただいた場合、割引サービスを受けられない場合</a:t>
            </a:r>
            <a:r>
              <a:rPr kumimoji="1" lang="ja-JP" altLang="en-US" sz="1100">
                <a:solidFill>
                  <a:srgbClr val="FF0000"/>
                </a:solidFill>
                <a:effectLst/>
                <a:latin typeface="+mn-lt"/>
                <a:ea typeface="+mn-ea"/>
                <a:cs typeface="+mn-cs"/>
              </a:rPr>
              <a:t>が</a:t>
            </a:r>
            <a:r>
              <a:rPr kumimoji="1" lang="ja-JP" altLang="ja-JP" sz="1100">
                <a:solidFill>
                  <a:srgbClr val="FF0000"/>
                </a:solidFill>
                <a:effectLst/>
                <a:latin typeface="+mn-lt"/>
                <a:ea typeface="+mn-ea"/>
                <a:cs typeface="+mn-cs"/>
              </a:rPr>
              <a:t>ございますので、予めご了承ください。</a:t>
            </a:r>
            <a:endParaRPr lang="ja-JP" altLang="ja-JP">
              <a:solidFill>
                <a:srgbClr val="FF0000"/>
              </a:solidFill>
              <a:effectLst/>
            </a:endParaRPr>
          </a:p>
          <a:p>
            <a:endParaRPr kumimoji="1" lang="en-US" altLang="ja-JP" sz="1100">
              <a:solidFill>
                <a:srgbClr val="FF0000"/>
              </a:solidFill>
            </a:endParaRPr>
          </a:p>
        </xdr:txBody>
      </xdr:sp>
      <xdr:sp macro="" textlink="">
        <xdr:nvSpPr>
          <xdr:cNvPr id="10" name="下矢印 9"/>
          <xdr:cNvSpPr/>
        </xdr:nvSpPr>
        <xdr:spPr>
          <a:xfrm>
            <a:off x="719667" y="11133667"/>
            <a:ext cx="423333" cy="28575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1" name="下矢印 10"/>
          <xdr:cNvSpPr/>
        </xdr:nvSpPr>
        <xdr:spPr>
          <a:xfrm>
            <a:off x="719667" y="12461112"/>
            <a:ext cx="423333" cy="28575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19</xdr:col>
      <xdr:colOff>31750</xdr:colOff>
      <xdr:row>0</xdr:row>
      <xdr:rowOff>127000</xdr:rowOff>
    </xdr:from>
    <xdr:to>
      <xdr:col>25</xdr:col>
      <xdr:colOff>142875</xdr:colOff>
      <xdr:row>5</xdr:row>
      <xdr:rowOff>31750</xdr:rowOff>
    </xdr:to>
    <xdr:sp macro="" textlink="">
      <xdr:nvSpPr>
        <xdr:cNvPr id="15" name="額縁 14">
          <a:hlinkClick xmlns:r="http://schemas.openxmlformats.org/officeDocument/2006/relationships" r:id="rId1"/>
        </xdr:cNvPr>
        <xdr:cNvSpPr/>
      </xdr:nvSpPr>
      <xdr:spPr>
        <a:xfrm>
          <a:off x="12700000" y="127000"/>
          <a:ext cx="2159000" cy="762000"/>
        </a:xfrm>
        <a:prstGeom prst="bevel">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indent="0" algn="ctr"/>
          <a:r>
            <a:rPr kumimoji="1" lang="ja-JP" altLang="en-US" sz="1100" b="1"/>
            <a:t>不動産会社宛メール作成</a:t>
          </a:r>
        </a:p>
        <a:p>
          <a:pPr indent="0" algn="ctr"/>
          <a:r>
            <a:rPr kumimoji="1" lang="en-US" altLang="ja-JP" sz="1100" b="1">
              <a:solidFill>
                <a:srgbClr val="FF0000"/>
              </a:solidFill>
            </a:rPr>
            <a:t>※</a:t>
          </a:r>
          <a:r>
            <a:rPr kumimoji="1" lang="ja-JP" altLang="en-US" sz="1100" b="1">
              <a:solidFill>
                <a:srgbClr val="FF0000"/>
              </a:solidFill>
            </a:rPr>
            <a:t>事務局のみ操作可能です。</a:t>
          </a:r>
        </a:p>
      </xdr:txBody>
    </xdr:sp>
    <xdr:clientData/>
  </xdr:twoCellAnchor>
  <xdr:twoCellAnchor>
    <xdr:from>
      <xdr:col>19</xdr:col>
      <xdr:colOff>31750</xdr:colOff>
      <xdr:row>5</xdr:row>
      <xdr:rowOff>31750</xdr:rowOff>
    </xdr:from>
    <xdr:to>
      <xdr:col>25</xdr:col>
      <xdr:colOff>142875</xdr:colOff>
      <xdr:row>9</xdr:row>
      <xdr:rowOff>107950</xdr:rowOff>
    </xdr:to>
    <xdr:sp macro="[0]!PDF出力" textlink="">
      <xdr:nvSpPr>
        <xdr:cNvPr id="16" name="額縁 15"/>
        <xdr:cNvSpPr/>
      </xdr:nvSpPr>
      <xdr:spPr>
        <a:xfrm>
          <a:off x="12700000" y="889000"/>
          <a:ext cx="2159000" cy="762000"/>
        </a:xfrm>
        <a:prstGeom prst="bevel">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indent="0" algn="ctr"/>
          <a:r>
            <a:rPr kumimoji="1" lang="en-US" altLang="ja-JP" sz="1100" b="1"/>
            <a:t>PDF</a:t>
          </a:r>
          <a:r>
            <a:rPr kumimoji="1" lang="ja-JP" altLang="en-US" sz="1100" b="1"/>
            <a:t>作成</a:t>
          </a:r>
        </a:p>
        <a:p>
          <a:pPr indent="0" algn="ctr"/>
          <a:r>
            <a:rPr kumimoji="1" lang="en-US" altLang="ja-JP" sz="1100" b="1">
              <a:solidFill>
                <a:srgbClr val="FF0000"/>
              </a:solidFill>
            </a:rPr>
            <a:t>※</a:t>
          </a:r>
          <a:r>
            <a:rPr kumimoji="1" lang="ja-JP" altLang="en-US" sz="1100" b="1">
              <a:solidFill>
                <a:srgbClr val="FF0000"/>
              </a:solidFill>
            </a:rPr>
            <a:t>事務局のみ操作可能です。</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21173</xdr:colOff>
      <xdr:row>5</xdr:row>
      <xdr:rowOff>28575</xdr:rowOff>
    </xdr:from>
    <xdr:to>
      <xdr:col>13</xdr:col>
      <xdr:colOff>31751</xdr:colOff>
      <xdr:row>11</xdr:row>
      <xdr:rowOff>137583</xdr:rowOff>
    </xdr:to>
    <xdr:sp macro="" textlink="">
      <xdr:nvSpPr>
        <xdr:cNvPr id="4" name="テキスト ボックス 3"/>
        <xdr:cNvSpPr txBox="1"/>
      </xdr:nvSpPr>
      <xdr:spPr>
        <a:xfrm>
          <a:off x="3873506" y="875242"/>
          <a:ext cx="3397245" cy="11250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ja-JP" sz="1100" b="0" i="0" u="none" strike="noStrike">
              <a:solidFill>
                <a:schemeClr val="dk1"/>
              </a:solidFill>
              <a:effectLst/>
              <a:latin typeface="+mn-lt"/>
              <a:ea typeface="+mn-ea"/>
              <a:cs typeface="+mn-cs"/>
            </a:rPr>
            <a:t>【</a:t>
          </a:r>
          <a:r>
            <a:rPr lang="ja-JP" altLang="en-US" sz="1100" b="0" i="0" u="none" strike="noStrike">
              <a:solidFill>
                <a:schemeClr val="dk1"/>
              </a:solidFill>
              <a:effectLst/>
              <a:latin typeface="+mn-lt"/>
              <a:ea typeface="+mn-ea"/>
              <a:cs typeface="+mn-cs"/>
            </a:rPr>
            <a:t>紹介元</a:t>
          </a:r>
          <a:r>
            <a:rPr lang="en-US" altLang="ja-JP" sz="1100" b="0" i="0" u="none" strike="noStrike">
              <a:solidFill>
                <a:schemeClr val="dk1"/>
              </a:solidFill>
              <a:effectLst/>
              <a:latin typeface="+mn-lt"/>
              <a:ea typeface="+mn-ea"/>
              <a:cs typeface="+mn-cs"/>
            </a:rPr>
            <a:t>】</a:t>
          </a:r>
          <a:r>
            <a:rPr lang="ja-JP" altLang="en-US"/>
            <a:t> </a:t>
          </a:r>
          <a:endParaRPr lang="en-US" altLang="ja-JP"/>
        </a:p>
        <a:p>
          <a:r>
            <a:rPr lang="ja-JP" altLang="en-US" sz="1100" b="0" i="0" u="none" strike="noStrike">
              <a:solidFill>
                <a:schemeClr val="dk1"/>
              </a:solidFill>
              <a:effectLst/>
              <a:latin typeface="+mn-lt"/>
              <a:ea typeface="+mn-ea"/>
              <a:cs typeface="+mn-cs"/>
            </a:rPr>
            <a:t>ＮＴＴデータマネジメントサービス株式会社</a:t>
          </a:r>
          <a:r>
            <a:rPr lang="ja-JP" altLang="en-US"/>
            <a:t> </a:t>
          </a:r>
          <a:endParaRPr lang="en-US" altLang="ja-JP"/>
        </a:p>
        <a:p>
          <a:r>
            <a:rPr lang="ja-JP" altLang="en-US" sz="1100" b="0" i="0" u="none" strike="noStrike">
              <a:solidFill>
                <a:schemeClr val="dk1"/>
              </a:solidFill>
              <a:effectLst/>
              <a:latin typeface="+mn-lt"/>
              <a:ea typeface="+mn-ea"/>
              <a:cs typeface="+mn-cs"/>
            </a:rPr>
            <a:t>人事サービス事業部　福利厚生サービス部</a:t>
          </a:r>
          <a:r>
            <a:rPr lang="ja-JP" altLang="en-US"/>
            <a:t> </a:t>
          </a:r>
          <a:endParaRPr lang="en-US" altLang="ja-JP"/>
        </a:p>
        <a:p>
          <a:r>
            <a:rPr lang="ja-JP" altLang="en-US" sz="1100" b="0" i="0" u="none" strike="noStrike">
              <a:solidFill>
                <a:schemeClr val="dk1"/>
              </a:solidFill>
              <a:effectLst/>
              <a:latin typeface="+mn-lt"/>
              <a:ea typeface="+mn-ea"/>
              <a:cs typeface="+mn-cs"/>
            </a:rPr>
            <a:t>ＮＴＴデータグループ住宅友の会事務局</a:t>
          </a:r>
          <a:endParaRPr lang="en-US" altLang="ja-JP" sz="1100" b="0" i="0" u="none" strike="noStrike">
            <a:solidFill>
              <a:schemeClr val="dk1"/>
            </a:solidFill>
            <a:effectLst/>
            <a:latin typeface="+mn-lt"/>
            <a:ea typeface="+mn-ea"/>
            <a:cs typeface="+mn-cs"/>
          </a:endParaRPr>
        </a:p>
        <a:p>
          <a:r>
            <a:rPr lang="en-US" altLang="ja-JP" sz="1100" b="0" i="0" u="none" strike="noStrike">
              <a:solidFill>
                <a:schemeClr val="dk1"/>
              </a:solidFill>
              <a:effectLst/>
              <a:latin typeface="+mn-lt"/>
              <a:ea typeface="+mn-ea"/>
              <a:cs typeface="+mn-cs"/>
            </a:rPr>
            <a:t>TEL 050-5546-8138</a:t>
          </a:r>
          <a:r>
            <a:rPr lang="ja-JP" altLang="en-US" sz="1100" b="0" i="0" u="none" strike="noStrike">
              <a:solidFill>
                <a:schemeClr val="dk1"/>
              </a:solidFill>
              <a:effectLst/>
              <a:latin typeface="+mn-lt"/>
              <a:ea typeface="+mn-ea"/>
              <a:cs typeface="+mn-cs"/>
            </a:rPr>
            <a:t>　</a:t>
          </a:r>
          <a:r>
            <a:rPr lang="en-US" altLang="ja-JP" sz="1100" b="0" i="0" u="none" strike="noStrike">
              <a:solidFill>
                <a:schemeClr val="dk1"/>
              </a:solidFill>
              <a:effectLst/>
              <a:latin typeface="+mn-lt"/>
              <a:ea typeface="+mn-ea"/>
              <a:cs typeface="+mn-cs"/>
            </a:rPr>
            <a:t>FAX 03-5546-8139</a:t>
          </a:r>
          <a:r>
            <a:rPr lang="en-US" altLang="ja-JP"/>
            <a:t> </a:t>
          </a:r>
          <a:endParaRPr kumimoji="1" lang="ja-JP" altLang="en-US" sz="1100"/>
        </a:p>
      </xdr:txBody>
    </xdr:sp>
    <xdr:clientData/>
  </xdr:twoCellAnchor>
  <xdr:twoCellAnchor>
    <xdr:from>
      <xdr:col>0</xdr:col>
      <xdr:colOff>158749</xdr:colOff>
      <xdr:row>48</xdr:row>
      <xdr:rowOff>95248</xdr:rowOff>
    </xdr:from>
    <xdr:to>
      <xdr:col>13</xdr:col>
      <xdr:colOff>719666</xdr:colOff>
      <xdr:row>69</xdr:row>
      <xdr:rowOff>105833</xdr:rowOff>
    </xdr:to>
    <xdr:grpSp>
      <xdr:nvGrpSpPr>
        <xdr:cNvPr id="5" name="グループ化 4"/>
        <xdr:cNvGrpSpPr/>
      </xdr:nvGrpSpPr>
      <xdr:grpSpPr>
        <a:xfrm>
          <a:off x="158749" y="9958915"/>
          <a:ext cx="7799917" cy="3566585"/>
          <a:chOff x="137583" y="9673168"/>
          <a:chExt cx="7048500" cy="3566586"/>
        </a:xfrm>
      </xdr:grpSpPr>
      <xdr:grpSp>
        <xdr:nvGrpSpPr>
          <xdr:cNvPr id="6" name="グループ化 5"/>
          <xdr:cNvGrpSpPr/>
        </xdr:nvGrpSpPr>
        <xdr:grpSpPr>
          <a:xfrm>
            <a:off x="137583" y="9673168"/>
            <a:ext cx="7048500" cy="3566586"/>
            <a:chOff x="137583" y="9588501"/>
            <a:chExt cx="7313084" cy="3566586"/>
          </a:xfrm>
        </xdr:grpSpPr>
        <xdr:sp macro="" textlink="">
          <xdr:nvSpPr>
            <xdr:cNvPr id="14" name="正方形/長方形 13"/>
            <xdr:cNvSpPr/>
          </xdr:nvSpPr>
          <xdr:spPr>
            <a:xfrm>
              <a:off x="137583" y="9588501"/>
              <a:ext cx="7313084" cy="3566586"/>
            </a:xfrm>
            <a:prstGeom prst="rect">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正方形/長方形 14"/>
            <xdr:cNvSpPr/>
          </xdr:nvSpPr>
          <xdr:spPr>
            <a:xfrm>
              <a:off x="148166" y="9599085"/>
              <a:ext cx="2317751" cy="275166"/>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n>
                  <a:solidFill>
                    <a:schemeClr val="bg1"/>
                  </a:solidFill>
                </a:ln>
                <a:solidFill>
                  <a:schemeClr val="bg1"/>
                </a:solidFill>
              </a:endParaRPr>
            </a:p>
          </xdr:txBody>
        </xdr:sp>
        <xdr:sp macro="" textlink="">
          <xdr:nvSpPr>
            <xdr:cNvPr id="16" name="Text Box 7"/>
            <xdr:cNvSpPr txBox="1">
              <a:spLocks noChangeArrowheads="1"/>
            </xdr:cNvSpPr>
          </xdr:nvSpPr>
          <xdr:spPr bwMode="auto">
            <a:xfrm>
              <a:off x="201091" y="9630833"/>
              <a:ext cx="2180159" cy="264582"/>
            </a:xfrm>
            <a:prstGeom prst="rect">
              <a:avLst/>
            </a:prstGeom>
            <a:noFill/>
            <a:ln w="9525">
              <a:noFill/>
              <a:miter lim="800000"/>
              <a:headEnd/>
              <a:tailEnd/>
            </a:ln>
          </xdr:spPr>
          <xdr:txBody>
            <a:bodyPr vertOverflow="clip" wrap="square" lIns="27432" tIns="18288" rIns="0" bIns="0" anchor="t" upright="1"/>
            <a:lstStyle/>
            <a:p>
              <a:pPr algn="l" rtl="0">
                <a:lnSpc>
                  <a:spcPts val="1300"/>
                </a:lnSpc>
                <a:defRPr sz="1000"/>
              </a:pPr>
              <a:r>
                <a:rPr lang="ja-JP" altLang="en-US" sz="1400" b="1" i="0" u="none" strike="noStrike" baseline="0">
                  <a:solidFill>
                    <a:schemeClr val="bg1"/>
                  </a:solidFill>
                  <a:latin typeface="ＭＳ Ｐゴシック"/>
                  <a:ea typeface="ＭＳ Ｐゴシック"/>
                </a:rPr>
                <a:t>≪紹介カード利用フロー≫</a:t>
              </a:r>
            </a:p>
          </xdr:txBody>
        </xdr:sp>
      </xdr:grpSp>
      <xdr:sp macro="" textlink="">
        <xdr:nvSpPr>
          <xdr:cNvPr id="7" name="テキスト ボックス 6"/>
          <xdr:cNvSpPr txBox="1"/>
        </xdr:nvSpPr>
        <xdr:spPr>
          <a:xfrm>
            <a:off x="222250" y="10001252"/>
            <a:ext cx="6813016" cy="508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①必要事項を入力する。</a:t>
            </a:r>
            <a:endParaRPr kumimoji="1" lang="en-US" altLang="ja-JP" sz="1100"/>
          </a:p>
          <a:p>
            <a:r>
              <a:rPr kumimoji="1" lang="en-US" altLang="ja-JP" sz="1100"/>
              <a:t>※</a:t>
            </a:r>
            <a:r>
              <a:rPr kumimoji="1" lang="ja-JP" altLang="en-US" sz="1100"/>
              <a:t>最上部に「提出可」の判定が出るまで内容を確認してください。</a:t>
            </a:r>
          </a:p>
        </xdr:txBody>
      </xdr:sp>
      <xdr:sp macro="" textlink="">
        <xdr:nvSpPr>
          <xdr:cNvPr id="8" name="テキスト ボックス 7"/>
          <xdr:cNvSpPr txBox="1"/>
        </xdr:nvSpPr>
        <xdr:spPr>
          <a:xfrm>
            <a:off x="222250" y="10699753"/>
            <a:ext cx="6813016" cy="4868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②事務局まで記入済紹介カードを送付する。</a:t>
            </a:r>
            <a:endParaRPr kumimoji="1" lang="en-US" altLang="ja-JP" sz="1100"/>
          </a:p>
          <a:p>
            <a:r>
              <a:rPr kumimoji="1" lang="en-US" altLang="ja-JP" sz="1100">
                <a:solidFill>
                  <a:srgbClr val="FF0000"/>
                </a:solidFill>
              </a:rPr>
              <a:t>※</a:t>
            </a:r>
            <a:r>
              <a:rPr kumimoji="1" lang="ja-JP" altLang="en-US" sz="1100">
                <a:solidFill>
                  <a:srgbClr val="FF0000"/>
                </a:solidFill>
              </a:rPr>
              <a:t>送付先に誤りがないようご注意ください。</a:t>
            </a:r>
            <a:endParaRPr kumimoji="1" lang="en-US" altLang="ja-JP" sz="1100">
              <a:solidFill>
                <a:srgbClr val="FF0000"/>
              </a:solidFill>
            </a:endParaRPr>
          </a:p>
        </xdr:txBody>
      </xdr:sp>
      <xdr:sp macro="" textlink="">
        <xdr:nvSpPr>
          <xdr:cNvPr id="9" name="テキスト ボックス 8"/>
          <xdr:cNvSpPr txBox="1"/>
        </xdr:nvSpPr>
        <xdr:spPr>
          <a:xfrm>
            <a:off x="222250" y="12715112"/>
            <a:ext cx="6813016" cy="3704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④成約に至ると、割引特典が受けられます。</a:t>
            </a:r>
            <a:endParaRPr kumimoji="1" lang="en-US" altLang="ja-JP" sz="1100"/>
          </a:p>
        </xdr:txBody>
      </xdr:sp>
      <xdr:sp macro="" textlink="">
        <xdr:nvSpPr>
          <xdr:cNvPr id="10" name="下矢印 9"/>
          <xdr:cNvSpPr/>
        </xdr:nvSpPr>
        <xdr:spPr>
          <a:xfrm>
            <a:off x="719667" y="10424584"/>
            <a:ext cx="423333" cy="28575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1" name="テキスト ボックス 10"/>
          <xdr:cNvSpPr txBox="1"/>
        </xdr:nvSpPr>
        <xdr:spPr bwMode="auto">
          <a:xfrm>
            <a:off x="211663" y="11377083"/>
            <a:ext cx="6813016" cy="11155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③受領確認メールが届いたら、紹介カードを印刷し、不動産会社へ提出する。</a:t>
            </a:r>
            <a:endParaRPr kumimoji="1" lang="en-US" altLang="ja-JP" sz="1100"/>
          </a:p>
          <a:p>
            <a:r>
              <a:rPr kumimoji="1" lang="en-US" altLang="ja-JP" sz="1100">
                <a:solidFill>
                  <a:srgbClr val="FF0000"/>
                </a:solidFill>
              </a:rPr>
              <a:t>※</a:t>
            </a:r>
            <a:r>
              <a:rPr kumimoji="1" lang="ja-JP" altLang="en-US" sz="1100">
                <a:solidFill>
                  <a:srgbClr val="FF0000"/>
                </a:solidFill>
              </a:rPr>
              <a:t>原則、初回訪問時の提出が必要となりますので、ご注意ください。</a:t>
            </a:r>
            <a:endParaRPr kumimoji="1" lang="en-US" altLang="ja-JP" sz="1100">
              <a:solidFill>
                <a:srgbClr val="FF0000"/>
              </a:solidFill>
            </a:endParaRPr>
          </a:p>
          <a:p>
            <a:r>
              <a:rPr kumimoji="1" lang="en-US" altLang="ja-JP" sz="1100"/>
              <a:t>※</a:t>
            </a:r>
            <a:r>
              <a:rPr kumimoji="1" lang="ja-JP" altLang="en-US" sz="1100"/>
              <a:t>事務局の営業時間は平日のみとなります。</a:t>
            </a:r>
            <a:r>
              <a:rPr kumimoji="1" lang="ja-JP" altLang="en-US" sz="1100">
                <a:solidFill>
                  <a:srgbClr val="FF0000"/>
                </a:solidFill>
              </a:rPr>
              <a:t>時間に余裕をもってご準備いただきますようお願いいたします。</a:t>
            </a:r>
            <a:endParaRPr kumimoji="1" lang="en-US" altLang="ja-JP" sz="1100">
              <a:solidFill>
                <a:srgbClr val="FF0000"/>
              </a:solidFill>
            </a:endParaRP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rgbClr val="FF0000"/>
                </a:solidFill>
                <a:effectLst/>
                <a:latin typeface="+mn-lt"/>
                <a:ea typeface="+mn-ea"/>
                <a:cs typeface="+mn-cs"/>
              </a:rPr>
              <a:t>※</a:t>
            </a:r>
            <a:r>
              <a:rPr kumimoji="1" lang="ja-JP" altLang="ja-JP" sz="1100">
                <a:solidFill>
                  <a:srgbClr val="FF0000"/>
                </a:solidFill>
                <a:effectLst/>
                <a:latin typeface="+mn-lt"/>
                <a:ea typeface="+mn-ea"/>
                <a:cs typeface="+mn-cs"/>
              </a:rPr>
              <a:t>休日に紹介カードのメールをお送りいただいた場合、割引サービスを受けられない場合</a:t>
            </a:r>
            <a:r>
              <a:rPr kumimoji="1" lang="ja-JP" altLang="en-US" sz="1100">
                <a:solidFill>
                  <a:srgbClr val="FF0000"/>
                </a:solidFill>
                <a:effectLst/>
                <a:latin typeface="+mn-lt"/>
                <a:ea typeface="+mn-ea"/>
                <a:cs typeface="+mn-cs"/>
              </a:rPr>
              <a:t>が</a:t>
            </a:r>
            <a:r>
              <a:rPr kumimoji="1" lang="ja-JP" altLang="ja-JP" sz="1100">
                <a:solidFill>
                  <a:srgbClr val="FF0000"/>
                </a:solidFill>
                <a:effectLst/>
                <a:latin typeface="+mn-lt"/>
                <a:ea typeface="+mn-ea"/>
                <a:cs typeface="+mn-cs"/>
              </a:rPr>
              <a:t>ございますので、予めご了承ください。</a:t>
            </a:r>
            <a:endParaRPr lang="ja-JP" altLang="ja-JP">
              <a:solidFill>
                <a:srgbClr val="FF0000"/>
              </a:solidFill>
              <a:effectLst/>
            </a:endParaRPr>
          </a:p>
          <a:p>
            <a:endParaRPr kumimoji="1" lang="en-US" altLang="ja-JP" sz="1100">
              <a:solidFill>
                <a:srgbClr val="FF0000"/>
              </a:solidFill>
            </a:endParaRPr>
          </a:p>
        </xdr:txBody>
      </xdr:sp>
      <xdr:sp macro="" textlink="">
        <xdr:nvSpPr>
          <xdr:cNvPr id="12" name="下矢印 11"/>
          <xdr:cNvSpPr/>
        </xdr:nvSpPr>
        <xdr:spPr>
          <a:xfrm>
            <a:off x="719667" y="11133667"/>
            <a:ext cx="423333" cy="28575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3" name="下矢印 12"/>
          <xdr:cNvSpPr/>
        </xdr:nvSpPr>
        <xdr:spPr>
          <a:xfrm>
            <a:off x="719667" y="12461112"/>
            <a:ext cx="423333" cy="28575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676275</xdr:colOff>
      <xdr:row>0</xdr:row>
      <xdr:rowOff>0</xdr:rowOff>
    </xdr:from>
    <xdr:to>
      <xdr:col>7</xdr:col>
      <xdr:colOff>1076325</xdr:colOff>
      <xdr:row>0</xdr:row>
      <xdr:rowOff>0</xdr:rowOff>
    </xdr:to>
    <xdr:sp macro="" textlink="">
      <xdr:nvSpPr>
        <xdr:cNvPr id="2" name="Oval 1"/>
        <xdr:cNvSpPr>
          <a:spLocks noChangeArrowheads="1"/>
        </xdr:cNvSpPr>
      </xdr:nvSpPr>
      <xdr:spPr bwMode="auto">
        <a:xfrm>
          <a:off x="5838825" y="0"/>
          <a:ext cx="40005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84" Type="http://schemas.openxmlformats.org/officeDocument/2006/relationships/control" Target="../activeX/activeX41.xml"/><Relationship Id="rId89" Type="http://schemas.openxmlformats.org/officeDocument/2006/relationships/image" Target="../media/image43.emf"/><Relationship Id="rId16" Type="http://schemas.openxmlformats.org/officeDocument/2006/relationships/control" Target="../activeX/activeX7.xml"/><Relationship Id="rId11" Type="http://schemas.openxmlformats.org/officeDocument/2006/relationships/image" Target="../media/image4.emf"/><Relationship Id="rId32" Type="http://schemas.openxmlformats.org/officeDocument/2006/relationships/control" Target="../activeX/activeX15.xml"/><Relationship Id="rId37" Type="http://schemas.openxmlformats.org/officeDocument/2006/relationships/image" Target="../media/image17.emf"/><Relationship Id="rId53" Type="http://schemas.openxmlformats.org/officeDocument/2006/relationships/image" Target="../media/image25.emf"/><Relationship Id="rId58" Type="http://schemas.openxmlformats.org/officeDocument/2006/relationships/control" Target="../activeX/activeX28.xml"/><Relationship Id="rId74" Type="http://schemas.openxmlformats.org/officeDocument/2006/relationships/control" Target="../activeX/activeX36.xml"/><Relationship Id="rId79" Type="http://schemas.openxmlformats.org/officeDocument/2006/relationships/image" Target="../media/image38.emf"/><Relationship Id="rId5" Type="http://schemas.openxmlformats.org/officeDocument/2006/relationships/image" Target="../media/image1.emf"/><Relationship Id="rId90" Type="http://schemas.openxmlformats.org/officeDocument/2006/relationships/control" Target="../activeX/activeX44.xml"/><Relationship Id="rId22" Type="http://schemas.openxmlformats.org/officeDocument/2006/relationships/control" Target="../activeX/activeX10.xml"/><Relationship Id="rId27" Type="http://schemas.openxmlformats.org/officeDocument/2006/relationships/image" Target="../media/image12.emf"/><Relationship Id="rId43" Type="http://schemas.openxmlformats.org/officeDocument/2006/relationships/image" Target="../media/image20.emf"/><Relationship Id="rId48" Type="http://schemas.openxmlformats.org/officeDocument/2006/relationships/control" Target="../activeX/activeX23.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80" Type="http://schemas.openxmlformats.org/officeDocument/2006/relationships/control" Target="../activeX/activeX39.xml"/><Relationship Id="rId85" Type="http://schemas.openxmlformats.org/officeDocument/2006/relationships/image" Target="../media/image41.emf"/><Relationship Id="rId93" Type="http://schemas.openxmlformats.org/officeDocument/2006/relationships/image" Target="../media/image45.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75" Type="http://schemas.openxmlformats.org/officeDocument/2006/relationships/image" Target="../media/image36.emf"/><Relationship Id="rId83" Type="http://schemas.openxmlformats.org/officeDocument/2006/relationships/image" Target="../media/image40.emf"/><Relationship Id="rId88" Type="http://schemas.openxmlformats.org/officeDocument/2006/relationships/control" Target="../activeX/activeX43.xml"/><Relationship Id="rId91" Type="http://schemas.openxmlformats.org/officeDocument/2006/relationships/image" Target="../media/image44.emf"/><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openxmlformats.org/officeDocument/2006/relationships/image" Target="../media/image35.emf"/><Relationship Id="rId78" Type="http://schemas.openxmlformats.org/officeDocument/2006/relationships/control" Target="../activeX/activeX38.xml"/><Relationship Id="rId81" Type="http://schemas.openxmlformats.org/officeDocument/2006/relationships/image" Target="../media/image39.emf"/><Relationship Id="rId86" Type="http://schemas.openxmlformats.org/officeDocument/2006/relationships/control" Target="../activeX/activeX42.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ntrol" Target="../activeX/activeX37.xml"/><Relationship Id="rId7" Type="http://schemas.openxmlformats.org/officeDocument/2006/relationships/image" Target="../media/image2.emf"/><Relationship Id="rId71" Type="http://schemas.openxmlformats.org/officeDocument/2006/relationships/image" Target="../media/image34.emf"/><Relationship Id="rId92" Type="http://schemas.openxmlformats.org/officeDocument/2006/relationships/control" Target="../activeX/activeX45.xml"/><Relationship Id="rId2" Type="http://schemas.openxmlformats.org/officeDocument/2006/relationships/drawing" Target="../drawings/drawing1.xml"/><Relationship Id="rId29" Type="http://schemas.openxmlformats.org/officeDocument/2006/relationships/image" Target="../media/image13.emf"/><Relationship Id="rId24" Type="http://schemas.openxmlformats.org/officeDocument/2006/relationships/control" Target="../activeX/activeX11.xml"/><Relationship Id="rId40" Type="http://schemas.openxmlformats.org/officeDocument/2006/relationships/control" Target="../activeX/activeX19.xml"/><Relationship Id="rId45" Type="http://schemas.openxmlformats.org/officeDocument/2006/relationships/image" Target="../media/image21.emf"/><Relationship Id="rId66" Type="http://schemas.openxmlformats.org/officeDocument/2006/relationships/control" Target="../activeX/activeX32.xml"/><Relationship Id="rId87" Type="http://schemas.openxmlformats.org/officeDocument/2006/relationships/image" Target="../media/image42.emf"/><Relationship Id="rId61" Type="http://schemas.openxmlformats.org/officeDocument/2006/relationships/image" Target="../media/image29.emf"/><Relationship Id="rId82" Type="http://schemas.openxmlformats.org/officeDocument/2006/relationships/control" Target="../activeX/activeX40.xml"/><Relationship Id="rId19" Type="http://schemas.openxmlformats.org/officeDocument/2006/relationships/image" Target="../media/image8.emf"/><Relationship Id="rId14" Type="http://schemas.openxmlformats.org/officeDocument/2006/relationships/control" Target="../activeX/activeX6.xml"/><Relationship Id="rId30" Type="http://schemas.openxmlformats.org/officeDocument/2006/relationships/control" Target="../activeX/activeX14.xml"/><Relationship Id="rId35" Type="http://schemas.openxmlformats.org/officeDocument/2006/relationships/image" Target="../media/image16.emf"/><Relationship Id="rId56" Type="http://schemas.openxmlformats.org/officeDocument/2006/relationships/control" Target="../activeX/activeX27.xml"/><Relationship Id="rId77" Type="http://schemas.openxmlformats.org/officeDocument/2006/relationships/image" Target="../media/image37.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www.nttd-ms.co.jp/company/privacy/index_01.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B7:P82"/>
  <sheetViews>
    <sheetView topLeftCell="A55" zoomScale="90" zoomScaleNormal="90" zoomScaleSheetLayoutView="90" workbookViewId="0">
      <selection activeCell="F22" sqref="F22"/>
    </sheetView>
  </sheetViews>
  <sheetFormatPr defaultRowHeight="13.5"/>
  <cols>
    <col min="1" max="1" width="2" customWidth="1"/>
    <col min="2" max="2" width="4.875" customWidth="1"/>
    <col min="3" max="3" width="34.625" customWidth="1"/>
    <col min="4" max="13" width="13" customWidth="1"/>
    <col min="14" max="16" width="10.625" customWidth="1"/>
  </cols>
  <sheetData>
    <row r="7" spans="2:16" ht="14.25" thickBot="1"/>
    <row r="8" spans="2:16" s="6" customFormat="1" ht="22.5" customHeight="1" thickTop="1">
      <c r="B8" s="46" t="s">
        <v>95</v>
      </c>
      <c r="C8" s="49"/>
      <c r="D8" s="49"/>
      <c r="E8" s="49"/>
      <c r="F8" s="49"/>
      <c r="G8" s="49"/>
      <c r="H8" s="49"/>
      <c r="I8" s="49"/>
      <c r="J8" s="49"/>
      <c r="K8" s="49"/>
      <c r="L8" s="49"/>
      <c r="M8" s="49"/>
      <c r="N8" s="68"/>
      <c r="O8" s="68"/>
      <c r="P8" s="68"/>
    </row>
    <row r="9" spans="2:16" ht="14.25" thickBot="1"/>
    <row r="10" spans="2:16" ht="15" customHeight="1" thickTop="1">
      <c r="B10" s="134" t="s">
        <v>49</v>
      </c>
      <c r="C10" s="135"/>
      <c r="D10" s="126" t="s">
        <v>155</v>
      </c>
      <c r="E10" s="127"/>
      <c r="F10" s="127"/>
      <c r="G10" s="128"/>
    </row>
    <row r="11" spans="2:16" ht="15" customHeight="1">
      <c r="B11" s="132" t="s">
        <v>0</v>
      </c>
      <c r="C11" s="133"/>
      <c r="D11" s="129" t="s">
        <v>156</v>
      </c>
      <c r="E11" s="130"/>
      <c r="F11" s="130"/>
      <c r="G11" s="131"/>
      <c r="H11" t="s">
        <v>96</v>
      </c>
    </row>
    <row r="12" spans="2:16" ht="15" customHeight="1">
      <c r="B12" s="134" t="s">
        <v>50</v>
      </c>
      <c r="C12" s="135"/>
      <c r="D12" s="129" t="s">
        <v>157</v>
      </c>
      <c r="E12" s="130"/>
      <c r="F12" s="130"/>
      <c r="G12" s="131"/>
      <c r="H12" t="s">
        <v>94</v>
      </c>
    </row>
    <row r="13" spans="2:16" ht="15" customHeight="1">
      <c r="B13" s="132" t="s">
        <v>51</v>
      </c>
      <c r="C13" s="133"/>
      <c r="D13" s="136" t="s">
        <v>158</v>
      </c>
      <c r="E13" s="137"/>
      <c r="F13" s="137"/>
      <c r="G13" s="138"/>
      <c r="H13" t="s">
        <v>122</v>
      </c>
      <c r="J13" s="44"/>
    </row>
    <row r="14" spans="2:16" ht="15" customHeight="1">
      <c r="B14" s="134" t="s">
        <v>2</v>
      </c>
      <c r="C14" s="135"/>
      <c r="D14" s="129" t="s">
        <v>159</v>
      </c>
      <c r="E14" s="130"/>
      <c r="F14" s="130"/>
      <c r="G14" s="131"/>
    </row>
    <row r="15" spans="2:16" ht="15" customHeight="1">
      <c r="B15" s="132" t="s">
        <v>89</v>
      </c>
      <c r="C15" s="133"/>
      <c r="D15" s="129" t="s">
        <v>160</v>
      </c>
      <c r="E15" s="130"/>
      <c r="F15" s="130"/>
      <c r="G15" s="131"/>
      <c r="H15" t="s">
        <v>93</v>
      </c>
    </row>
    <row r="16" spans="2:16" ht="15" customHeight="1">
      <c r="B16" s="134" t="s">
        <v>52</v>
      </c>
      <c r="C16" s="135"/>
      <c r="D16" s="129" t="s">
        <v>161</v>
      </c>
      <c r="E16" s="130"/>
      <c r="F16" s="130"/>
      <c r="G16" s="131"/>
    </row>
    <row r="17" spans="2:16" ht="15" customHeight="1" thickBot="1">
      <c r="B17" s="132" t="s">
        <v>54</v>
      </c>
      <c r="C17" s="133"/>
      <c r="D17" s="146" t="s">
        <v>162</v>
      </c>
      <c r="E17" s="147"/>
      <c r="F17" s="147"/>
      <c r="G17" s="148"/>
      <c r="H17" t="s">
        <v>92</v>
      </c>
    </row>
    <row r="18" spans="2:16" ht="13.5" customHeight="1" thickTop="1">
      <c r="B18" s="61"/>
      <c r="C18" s="59"/>
      <c r="D18" s="58"/>
      <c r="E18" s="58"/>
      <c r="F18" s="58"/>
      <c r="G18" s="58"/>
    </row>
    <row r="19" spans="2:16" ht="13.5" customHeight="1" thickBot="1"/>
    <row r="20" spans="2:16" s="38" customFormat="1" ht="22.5" customHeight="1" thickTop="1">
      <c r="B20" s="47" t="s">
        <v>90</v>
      </c>
      <c r="C20" s="48"/>
      <c r="D20" s="48"/>
      <c r="E20" s="48"/>
      <c r="F20" s="48"/>
      <c r="G20" s="48"/>
      <c r="H20" s="48"/>
      <c r="I20" s="48"/>
      <c r="J20" s="48"/>
      <c r="K20" s="48"/>
      <c r="L20" s="48"/>
      <c r="M20" s="48"/>
      <c r="N20" s="48"/>
      <c r="O20" s="48"/>
      <c r="P20" s="48"/>
    </row>
    <row r="21" spans="2:16" s="64" customFormat="1" ht="7.5" customHeight="1">
      <c r="B21" s="62"/>
      <c r="C21" s="63"/>
      <c r="D21" s="63"/>
      <c r="E21" s="63"/>
      <c r="F21" s="63"/>
      <c r="G21" s="63"/>
      <c r="H21" s="63"/>
      <c r="I21" s="63"/>
      <c r="J21" s="63"/>
      <c r="K21" s="63"/>
      <c r="L21" s="63"/>
      <c r="M21" s="63"/>
      <c r="N21" s="63"/>
      <c r="O21" s="63"/>
      <c r="P21" s="63"/>
    </row>
    <row r="22" spans="2:16" ht="15" customHeight="1" thickBot="1">
      <c r="B22" s="145" t="s">
        <v>151</v>
      </c>
      <c r="C22" s="145"/>
    </row>
    <row r="23" spans="2:16" ht="27.75" thickTop="1">
      <c r="B23" s="52"/>
      <c r="C23" s="53" t="s">
        <v>57</v>
      </c>
      <c r="D23" s="54" t="s">
        <v>97</v>
      </c>
      <c r="E23" s="54" t="s">
        <v>98</v>
      </c>
      <c r="F23" s="54" t="s">
        <v>99</v>
      </c>
      <c r="G23" s="54" t="s">
        <v>149</v>
      </c>
      <c r="H23" s="55" t="s">
        <v>37</v>
      </c>
      <c r="I23" s="55" t="s">
        <v>40</v>
      </c>
      <c r="J23" s="55" t="s">
        <v>33</v>
      </c>
      <c r="K23" s="55" t="s">
        <v>58</v>
      </c>
      <c r="L23" s="55" t="s">
        <v>59</v>
      </c>
      <c r="M23" s="56" t="s">
        <v>60</v>
      </c>
      <c r="N23" s="139" t="s">
        <v>108</v>
      </c>
      <c r="O23" s="140"/>
      <c r="P23" s="141"/>
    </row>
    <row r="24" spans="2:16" ht="22.5" customHeight="1">
      <c r="B24" s="50"/>
      <c r="C24" s="57" t="s">
        <v>61</v>
      </c>
      <c r="D24" s="45"/>
      <c r="E24" s="45"/>
      <c r="F24" s="45"/>
      <c r="G24" s="45"/>
      <c r="H24" s="45"/>
      <c r="I24" s="45" t="s">
        <v>62</v>
      </c>
      <c r="J24" s="45"/>
      <c r="K24" s="45"/>
      <c r="L24" s="45"/>
      <c r="M24" s="51"/>
      <c r="N24" s="117" t="s">
        <v>110</v>
      </c>
      <c r="O24" s="118"/>
      <c r="P24" s="119"/>
    </row>
    <row r="25" spans="2:16" ht="22.5" customHeight="1">
      <c r="B25" s="50"/>
      <c r="C25" s="57" t="s">
        <v>63</v>
      </c>
      <c r="D25" s="45" t="s">
        <v>62</v>
      </c>
      <c r="E25" s="45"/>
      <c r="F25" s="45"/>
      <c r="G25" s="45"/>
      <c r="H25" s="45"/>
      <c r="I25" s="45"/>
      <c r="J25" s="45"/>
      <c r="K25" s="45"/>
      <c r="L25" s="45"/>
      <c r="M25" s="51"/>
      <c r="N25" s="117" t="s">
        <v>111</v>
      </c>
      <c r="O25" s="118"/>
      <c r="P25" s="119"/>
    </row>
    <row r="26" spans="2:16" ht="22.5" customHeight="1">
      <c r="B26" s="50"/>
      <c r="C26" s="57" t="s">
        <v>64</v>
      </c>
      <c r="D26" s="45"/>
      <c r="E26" s="45"/>
      <c r="F26" s="45"/>
      <c r="G26" s="45"/>
      <c r="H26" s="45"/>
      <c r="I26" s="45" t="s">
        <v>62</v>
      </c>
      <c r="J26" s="45" t="s">
        <v>62</v>
      </c>
      <c r="K26" s="45"/>
      <c r="L26" s="45"/>
      <c r="M26" s="51"/>
      <c r="N26" s="117" t="s">
        <v>112</v>
      </c>
      <c r="O26" s="118"/>
      <c r="P26" s="119"/>
    </row>
    <row r="27" spans="2:16" ht="22.5" customHeight="1">
      <c r="B27" s="50"/>
      <c r="C27" s="57" t="s">
        <v>65</v>
      </c>
      <c r="D27" s="45"/>
      <c r="E27" s="45"/>
      <c r="F27" s="45"/>
      <c r="G27" s="45"/>
      <c r="H27" s="45"/>
      <c r="I27" s="45" t="s">
        <v>62</v>
      </c>
      <c r="J27" s="45"/>
      <c r="K27" s="45"/>
      <c r="L27" s="45"/>
      <c r="M27" s="51"/>
      <c r="N27" s="117" t="s">
        <v>113</v>
      </c>
      <c r="O27" s="118"/>
      <c r="P27" s="119"/>
    </row>
    <row r="28" spans="2:16" ht="22.5" customHeight="1">
      <c r="B28" s="50"/>
      <c r="C28" s="57" t="s">
        <v>66</v>
      </c>
      <c r="D28" s="45" t="s">
        <v>62</v>
      </c>
      <c r="E28" s="45"/>
      <c r="F28" s="45"/>
      <c r="G28" s="45"/>
      <c r="H28" s="45"/>
      <c r="I28" s="45" t="s">
        <v>62</v>
      </c>
      <c r="J28" s="45" t="s">
        <v>62</v>
      </c>
      <c r="K28" s="45"/>
      <c r="L28" s="45"/>
      <c r="M28" s="51"/>
      <c r="N28" s="117" t="s">
        <v>112</v>
      </c>
      <c r="O28" s="118"/>
      <c r="P28" s="119"/>
    </row>
    <row r="29" spans="2:16" ht="22.5" customHeight="1">
      <c r="B29" s="50"/>
      <c r="C29" s="57" t="s">
        <v>67</v>
      </c>
      <c r="D29" s="45" t="s">
        <v>62</v>
      </c>
      <c r="E29" s="45"/>
      <c r="F29" s="45" t="s">
        <v>62</v>
      </c>
      <c r="G29" s="45"/>
      <c r="H29" s="45"/>
      <c r="I29" s="45"/>
      <c r="J29" s="45" t="s">
        <v>62</v>
      </c>
      <c r="K29" s="45"/>
      <c r="L29" s="45"/>
      <c r="M29" s="51"/>
      <c r="N29" s="117" t="s">
        <v>112</v>
      </c>
      <c r="O29" s="118"/>
      <c r="P29" s="119"/>
    </row>
    <row r="30" spans="2:16" ht="22.5" customHeight="1">
      <c r="B30" s="50"/>
      <c r="C30" s="57" t="s">
        <v>68</v>
      </c>
      <c r="D30" s="45" t="s">
        <v>62</v>
      </c>
      <c r="E30" s="45" t="s">
        <v>62</v>
      </c>
      <c r="F30" s="45" t="s">
        <v>62</v>
      </c>
      <c r="G30" s="45" t="s">
        <v>62</v>
      </c>
      <c r="H30" s="45" t="s">
        <v>62</v>
      </c>
      <c r="I30" s="45" t="s">
        <v>62</v>
      </c>
      <c r="J30" s="45" t="s">
        <v>62</v>
      </c>
      <c r="K30" s="45" t="s">
        <v>62</v>
      </c>
      <c r="L30" s="45" t="s">
        <v>62</v>
      </c>
      <c r="M30" s="51" t="s">
        <v>62</v>
      </c>
      <c r="N30" s="117" t="s">
        <v>114</v>
      </c>
      <c r="O30" s="118"/>
      <c r="P30" s="119"/>
    </row>
    <row r="31" spans="2:16" ht="22.5" customHeight="1">
      <c r="B31" s="50"/>
      <c r="C31" s="57" t="s">
        <v>69</v>
      </c>
      <c r="D31" s="45" t="s">
        <v>62</v>
      </c>
      <c r="E31" s="45" t="s">
        <v>62</v>
      </c>
      <c r="F31" s="45" t="s">
        <v>62</v>
      </c>
      <c r="G31" s="45" t="s">
        <v>62</v>
      </c>
      <c r="H31" s="45" t="s">
        <v>62</v>
      </c>
      <c r="I31" s="45"/>
      <c r="J31" s="45"/>
      <c r="K31" s="45" t="s">
        <v>62</v>
      </c>
      <c r="L31" s="45" t="s">
        <v>62</v>
      </c>
      <c r="M31" s="51" t="s">
        <v>62</v>
      </c>
      <c r="N31" s="117" t="s">
        <v>111</v>
      </c>
      <c r="O31" s="118"/>
      <c r="P31" s="119"/>
    </row>
    <row r="32" spans="2:16" ht="22.5" customHeight="1">
      <c r="B32" s="50"/>
      <c r="C32" s="57" t="s">
        <v>70</v>
      </c>
      <c r="D32" s="45"/>
      <c r="E32" s="45"/>
      <c r="F32" s="45"/>
      <c r="G32" s="45"/>
      <c r="H32" s="45"/>
      <c r="I32" s="45" t="s">
        <v>62</v>
      </c>
      <c r="J32" s="45"/>
      <c r="K32" s="45"/>
      <c r="L32" s="45"/>
      <c r="M32" s="51"/>
      <c r="N32" s="117" t="s">
        <v>115</v>
      </c>
      <c r="O32" s="118"/>
      <c r="P32" s="119"/>
    </row>
    <row r="33" spans="2:16" ht="22.5" customHeight="1">
      <c r="B33" s="50"/>
      <c r="C33" s="57" t="s">
        <v>71</v>
      </c>
      <c r="D33" s="45" t="s">
        <v>62</v>
      </c>
      <c r="E33" s="45"/>
      <c r="F33" s="45"/>
      <c r="G33" s="45"/>
      <c r="H33" s="45"/>
      <c r="I33" s="45" t="s">
        <v>62</v>
      </c>
      <c r="J33" s="45"/>
      <c r="K33" s="45"/>
      <c r="L33" s="45"/>
      <c r="M33" s="51"/>
      <c r="N33" s="117" t="s">
        <v>115</v>
      </c>
      <c r="O33" s="118"/>
      <c r="P33" s="119"/>
    </row>
    <row r="34" spans="2:16" ht="22.5" customHeight="1">
      <c r="B34" s="50"/>
      <c r="C34" s="57" t="s">
        <v>72</v>
      </c>
      <c r="D34" s="45" t="s">
        <v>62</v>
      </c>
      <c r="E34" s="45"/>
      <c r="F34" s="45"/>
      <c r="G34" s="45"/>
      <c r="H34" s="45"/>
      <c r="I34" s="45"/>
      <c r="J34" s="45"/>
      <c r="K34" s="45"/>
      <c r="L34" s="45"/>
      <c r="M34" s="51"/>
      <c r="N34" s="117" t="s">
        <v>111</v>
      </c>
      <c r="O34" s="118"/>
      <c r="P34" s="119"/>
    </row>
    <row r="35" spans="2:16" ht="22.5" customHeight="1">
      <c r="B35" s="50"/>
      <c r="C35" s="57" t="s">
        <v>142</v>
      </c>
      <c r="D35" s="98"/>
      <c r="E35" s="98"/>
      <c r="F35" s="98"/>
      <c r="G35" s="98"/>
      <c r="H35" s="98"/>
      <c r="I35" s="98" t="s">
        <v>143</v>
      </c>
      <c r="J35" s="98" t="s">
        <v>143</v>
      </c>
      <c r="K35" s="98"/>
      <c r="L35" s="98"/>
      <c r="M35" s="99"/>
      <c r="N35" s="117" t="s">
        <v>141</v>
      </c>
      <c r="O35" s="118"/>
      <c r="P35" s="119"/>
    </row>
    <row r="36" spans="2:16" ht="22.5" customHeight="1">
      <c r="B36" s="50"/>
      <c r="C36" s="57" t="s">
        <v>91</v>
      </c>
      <c r="D36" s="45" t="s">
        <v>62</v>
      </c>
      <c r="E36" s="45"/>
      <c r="F36" s="45"/>
      <c r="G36" s="45"/>
      <c r="H36" s="45"/>
      <c r="I36" s="45"/>
      <c r="J36" s="45"/>
      <c r="K36" s="45"/>
      <c r="L36" s="45"/>
      <c r="M36" s="51"/>
      <c r="N36" s="117" t="s">
        <v>112</v>
      </c>
      <c r="O36" s="118"/>
      <c r="P36" s="119"/>
    </row>
    <row r="37" spans="2:16" ht="22.5" customHeight="1">
      <c r="B37" s="50"/>
      <c r="C37" s="57" t="s">
        <v>73</v>
      </c>
      <c r="D37" s="45" t="s">
        <v>62</v>
      </c>
      <c r="E37" s="45"/>
      <c r="F37" s="45" t="s">
        <v>62</v>
      </c>
      <c r="G37" s="45"/>
      <c r="H37" s="45"/>
      <c r="I37" s="45" t="s">
        <v>62</v>
      </c>
      <c r="J37" s="45"/>
      <c r="K37" s="45"/>
      <c r="L37" s="45"/>
      <c r="M37" s="51"/>
      <c r="N37" s="117" t="s">
        <v>112</v>
      </c>
      <c r="O37" s="118"/>
      <c r="P37" s="119"/>
    </row>
    <row r="38" spans="2:16" ht="22.5" customHeight="1">
      <c r="B38" s="50"/>
      <c r="C38" s="57" t="s">
        <v>103</v>
      </c>
      <c r="D38" s="45"/>
      <c r="E38" s="45"/>
      <c r="F38" s="45" t="s">
        <v>62</v>
      </c>
      <c r="G38" s="45"/>
      <c r="H38" s="45"/>
      <c r="I38" s="45" t="s">
        <v>62</v>
      </c>
      <c r="J38" s="45" t="s">
        <v>62</v>
      </c>
      <c r="K38" s="45"/>
      <c r="L38" s="45"/>
      <c r="M38" s="51"/>
      <c r="N38" s="117" t="s">
        <v>118</v>
      </c>
      <c r="O38" s="118"/>
      <c r="P38" s="119"/>
    </row>
    <row r="39" spans="2:16" ht="22.5" customHeight="1">
      <c r="B39" s="50"/>
      <c r="C39" s="57" t="s">
        <v>74</v>
      </c>
      <c r="D39" s="45" t="s">
        <v>62</v>
      </c>
      <c r="E39" s="45" t="s">
        <v>62</v>
      </c>
      <c r="F39" s="45" t="s">
        <v>62</v>
      </c>
      <c r="G39" s="45" t="s">
        <v>62</v>
      </c>
      <c r="H39" s="45" t="s">
        <v>62</v>
      </c>
      <c r="I39" s="45"/>
      <c r="J39" s="45"/>
      <c r="K39" s="45" t="s">
        <v>62</v>
      </c>
      <c r="L39" s="45" t="s">
        <v>62</v>
      </c>
      <c r="M39" s="51" t="s">
        <v>62</v>
      </c>
      <c r="N39" s="117" t="s">
        <v>117</v>
      </c>
      <c r="O39" s="118"/>
      <c r="P39" s="119"/>
    </row>
    <row r="40" spans="2:16" ht="22.5" customHeight="1">
      <c r="B40" s="50"/>
      <c r="C40" s="57" t="s">
        <v>75</v>
      </c>
      <c r="D40" s="45" t="s">
        <v>62</v>
      </c>
      <c r="E40" s="45" t="s">
        <v>62</v>
      </c>
      <c r="F40" s="45" t="s">
        <v>62</v>
      </c>
      <c r="G40" s="45" t="s">
        <v>62</v>
      </c>
      <c r="H40" s="45" t="s">
        <v>62</v>
      </c>
      <c r="I40" s="45"/>
      <c r="J40" s="45"/>
      <c r="K40" s="45" t="s">
        <v>62</v>
      </c>
      <c r="L40" s="45" t="s">
        <v>62</v>
      </c>
      <c r="M40" s="51" t="s">
        <v>62</v>
      </c>
      <c r="N40" s="117" t="s">
        <v>112</v>
      </c>
      <c r="O40" s="118"/>
      <c r="P40" s="119"/>
    </row>
    <row r="41" spans="2:16" ht="22.5" customHeight="1">
      <c r="B41" s="50"/>
      <c r="C41" s="57" t="s">
        <v>139</v>
      </c>
      <c r="D41" s="98" t="s">
        <v>140</v>
      </c>
      <c r="E41" s="98"/>
      <c r="F41" s="98" t="s">
        <v>143</v>
      </c>
      <c r="G41" s="98"/>
      <c r="H41" s="98"/>
      <c r="I41" s="98"/>
      <c r="J41" s="98"/>
      <c r="K41" s="98"/>
      <c r="L41" s="98"/>
      <c r="M41" s="99"/>
      <c r="N41" s="117" t="s">
        <v>141</v>
      </c>
      <c r="O41" s="118"/>
      <c r="P41" s="119"/>
    </row>
    <row r="42" spans="2:16" ht="22.5" customHeight="1">
      <c r="B42" s="50"/>
      <c r="C42" s="57" t="s">
        <v>76</v>
      </c>
      <c r="D42" s="45" t="s">
        <v>62</v>
      </c>
      <c r="E42" s="45" t="s">
        <v>62</v>
      </c>
      <c r="F42" s="45" t="s">
        <v>62</v>
      </c>
      <c r="G42" s="45" t="s">
        <v>62</v>
      </c>
      <c r="H42" s="45" t="s">
        <v>62</v>
      </c>
      <c r="I42" s="45"/>
      <c r="J42" s="45"/>
      <c r="K42" s="45" t="s">
        <v>62</v>
      </c>
      <c r="L42" s="45" t="s">
        <v>62</v>
      </c>
      <c r="M42" s="51" t="s">
        <v>62</v>
      </c>
      <c r="N42" s="117" t="s">
        <v>115</v>
      </c>
      <c r="O42" s="118"/>
      <c r="P42" s="119"/>
    </row>
    <row r="43" spans="2:16" ht="22.5" customHeight="1">
      <c r="B43" s="50"/>
      <c r="C43" s="57" t="s">
        <v>77</v>
      </c>
      <c r="D43" s="45" t="s">
        <v>62</v>
      </c>
      <c r="E43" s="45"/>
      <c r="F43" s="45" t="s">
        <v>62</v>
      </c>
      <c r="G43" s="45"/>
      <c r="H43" s="45"/>
      <c r="I43" s="45"/>
      <c r="J43" s="45"/>
      <c r="K43" s="45"/>
      <c r="L43" s="45"/>
      <c r="M43" s="51"/>
      <c r="N43" s="117" t="s">
        <v>117</v>
      </c>
      <c r="O43" s="118"/>
      <c r="P43" s="119"/>
    </row>
    <row r="44" spans="2:16" ht="22.5" customHeight="1">
      <c r="B44" s="50"/>
      <c r="C44" s="57" t="s">
        <v>78</v>
      </c>
      <c r="D44" s="45"/>
      <c r="E44" s="45"/>
      <c r="F44" s="45"/>
      <c r="G44" s="45"/>
      <c r="H44" s="45"/>
      <c r="I44" s="45" t="s">
        <v>62</v>
      </c>
      <c r="J44" s="45"/>
      <c r="K44" s="45"/>
      <c r="L44" s="45"/>
      <c r="M44" s="51"/>
      <c r="N44" s="117" t="s">
        <v>112</v>
      </c>
      <c r="O44" s="118"/>
      <c r="P44" s="119"/>
    </row>
    <row r="45" spans="2:16" ht="22.5" customHeight="1">
      <c r="B45" s="50"/>
      <c r="C45" s="57" t="s">
        <v>79</v>
      </c>
      <c r="D45" s="45" t="s">
        <v>62</v>
      </c>
      <c r="E45" s="45"/>
      <c r="F45" s="45" t="s">
        <v>62</v>
      </c>
      <c r="G45" s="45"/>
      <c r="H45" s="45"/>
      <c r="I45" s="45"/>
      <c r="J45" s="45"/>
      <c r="K45" s="45"/>
      <c r="L45" s="45"/>
      <c r="M45" s="51"/>
      <c r="N45" s="117" t="s">
        <v>138</v>
      </c>
      <c r="O45" s="118"/>
      <c r="P45" s="119"/>
    </row>
    <row r="46" spans="2:16" ht="22.5" customHeight="1">
      <c r="B46" s="50"/>
      <c r="C46" s="57" t="s">
        <v>80</v>
      </c>
      <c r="D46" s="45"/>
      <c r="E46" s="45"/>
      <c r="F46" s="45" t="s">
        <v>62</v>
      </c>
      <c r="G46" s="45"/>
      <c r="H46" s="45"/>
      <c r="I46" s="45" t="s">
        <v>62</v>
      </c>
      <c r="J46" s="45" t="s">
        <v>62</v>
      </c>
      <c r="K46" s="45"/>
      <c r="L46" s="45"/>
      <c r="M46" s="51"/>
      <c r="N46" s="117" t="s">
        <v>115</v>
      </c>
      <c r="O46" s="118"/>
      <c r="P46" s="119"/>
    </row>
    <row r="47" spans="2:16" ht="22.5" customHeight="1">
      <c r="B47" s="50"/>
      <c r="C47" s="57" t="s">
        <v>144</v>
      </c>
      <c r="D47" s="45"/>
      <c r="E47" s="45"/>
      <c r="F47" s="45" t="s">
        <v>62</v>
      </c>
      <c r="G47" s="45"/>
      <c r="H47" s="45"/>
      <c r="I47" s="45" t="s">
        <v>62</v>
      </c>
      <c r="J47" s="100" t="s">
        <v>62</v>
      </c>
      <c r="K47" s="45"/>
      <c r="L47" s="45"/>
      <c r="M47" s="51"/>
      <c r="N47" s="117" t="s">
        <v>112</v>
      </c>
      <c r="O47" s="118"/>
      <c r="P47" s="119"/>
    </row>
    <row r="48" spans="2:16" ht="22.5" customHeight="1">
      <c r="B48" s="50"/>
      <c r="C48" s="57" t="s">
        <v>81</v>
      </c>
      <c r="D48" s="45" t="s">
        <v>62</v>
      </c>
      <c r="E48" s="45" t="s">
        <v>62</v>
      </c>
      <c r="F48" s="45" t="s">
        <v>62</v>
      </c>
      <c r="G48" s="45" t="s">
        <v>62</v>
      </c>
      <c r="H48" s="45" t="s">
        <v>62</v>
      </c>
      <c r="I48" s="45"/>
      <c r="J48" s="45"/>
      <c r="K48" s="45" t="s">
        <v>62</v>
      </c>
      <c r="L48" s="45" t="s">
        <v>62</v>
      </c>
      <c r="M48" s="51" t="s">
        <v>62</v>
      </c>
      <c r="N48" s="117" t="s">
        <v>112</v>
      </c>
      <c r="O48" s="118"/>
      <c r="P48" s="119"/>
    </row>
    <row r="49" spans="2:16" ht="22.5" customHeight="1">
      <c r="B49" s="50"/>
      <c r="C49" s="57" t="s">
        <v>82</v>
      </c>
      <c r="D49" s="45" t="s">
        <v>62</v>
      </c>
      <c r="E49" s="45"/>
      <c r="F49" s="45" t="s">
        <v>62</v>
      </c>
      <c r="G49" s="45"/>
      <c r="H49" s="45"/>
      <c r="I49" s="45"/>
      <c r="J49" s="45"/>
      <c r="K49" s="45"/>
      <c r="L49" s="45"/>
      <c r="M49" s="51"/>
      <c r="N49" s="117" t="s">
        <v>112</v>
      </c>
      <c r="O49" s="118"/>
      <c r="P49" s="119"/>
    </row>
    <row r="50" spans="2:16" ht="22.5" customHeight="1">
      <c r="B50" s="50"/>
      <c r="C50" s="57" t="s">
        <v>83</v>
      </c>
      <c r="D50" s="45"/>
      <c r="E50" s="45"/>
      <c r="F50" s="45"/>
      <c r="G50" s="45"/>
      <c r="H50" s="45"/>
      <c r="I50" s="45" t="s">
        <v>62</v>
      </c>
      <c r="J50" s="45"/>
      <c r="K50" s="45"/>
      <c r="L50" s="45"/>
      <c r="M50" s="51"/>
      <c r="N50" s="117" t="s">
        <v>112</v>
      </c>
      <c r="O50" s="118"/>
      <c r="P50" s="119"/>
    </row>
    <row r="51" spans="2:16" ht="22.5" customHeight="1">
      <c r="B51" s="50"/>
      <c r="C51" s="57" t="s">
        <v>84</v>
      </c>
      <c r="D51" s="45"/>
      <c r="E51" s="45"/>
      <c r="F51" s="45"/>
      <c r="G51" s="45"/>
      <c r="H51" s="45"/>
      <c r="I51" s="45"/>
      <c r="J51" s="45" t="s">
        <v>62</v>
      </c>
      <c r="K51" s="45"/>
      <c r="L51" s="45"/>
      <c r="M51" s="51"/>
      <c r="N51" s="117" t="s">
        <v>119</v>
      </c>
      <c r="O51" s="118"/>
      <c r="P51" s="119"/>
    </row>
    <row r="52" spans="2:16" ht="22.5" customHeight="1">
      <c r="B52" s="50"/>
      <c r="C52" s="57" t="s">
        <v>85</v>
      </c>
      <c r="D52" s="45" t="s">
        <v>62</v>
      </c>
      <c r="E52" s="45"/>
      <c r="F52" s="45" t="s">
        <v>62</v>
      </c>
      <c r="G52" s="45"/>
      <c r="H52" s="45"/>
      <c r="I52" s="45"/>
      <c r="J52" s="45"/>
      <c r="K52" s="45"/>
      <c r="L52" s="45"/>
      <c r="M52" s="51"/>
      <c r="N52" s="117" t="s">
        <v>116</v>
      </c>
      <c r="O52" s="118"/>
      <c r="P52" s="119"/>
    </row>
    <row r="53" spans="2:16" ht="22.5" customHeight="1">
      <c r="B53" s="50"/>
      <c r="C53" s="57" t="s">
        <v>86</v>
      </c>
      <c r="D53" s="45" t="s">
        <v>62</v>
      </c>
      <c r="E53" s="45"/>
      <c r="F53" s="45"/>
      <c r="G53" s="45"/>
      <c r="H53" s="45"/>
      <c r="I53" s="45"/>
      <c r="J53" s="45"/>
      <c r="K53" s="45"/>
      <c r="L53" s="45"/>
      <c r="M53" s="51"/>
      <c r="N53" s="117" t="s">
        <v>115</v>
      </c>
      <c r="O53" s="118"/>
      <c r="P53" s="119"/>
    </row>
    <row r="54" spans="2:16" ht="22.5" customHeight="1">
      <c r="B54" s="50"/>
      <c r="C54" s="57" t="s">
        <v>87</v>
      </c>
      <c r="D54" s="45" t="s">
        <v>62</v>
      </c>
      <c r="E54" s="45"/>
      <c r="F54" s="45"/>
      <c r="G54" s="45"/>
      <c r="H54" s="45"/>
      <c r="I54" s="45"/>
      <c r="J54" s="45"/>
      <c r="K54" s="45"/>
      <c r="L54" s="45"/>
      <c r="M54" s="51"/>
      <c r="N54" s="117" t="s">
        <v>112</v>
      </c>
      <c r="O54" s="118"/>
      <c r="P54" s="119"/>
    </row>
    <row r="55" spans="2:16" ht="22.5" customHeight="1">
      <c r="B55" s="75"/>
      <c r="C55" s="76" t="s">
        <v>88</v>
      </c>
      <c r="D55" s="77" t="s">
        <v>62</v>
      </c>
      <c r="E55" s="77"/>
      <c r="F55" s="77"/>
      <c r="G55" s="77"/>
      <c r="H55" s="77"/>
      <c r="I55" s="77"/>
      <c r="J55" s="77"/>
      <c r="K55" s="77"/>
      <c r="L55" s="77"/>
      <c r="M55" s="78"/>
      <c r="N55" s="120" t="s">
        <v>112</v>
      </c>
      <c r="O55" s="121"/>
      <c r="P55" s="122"/>
    </row>
    <row r="56" spans="2:16" ht="22.5" customHeight="1">
      <c r="B56" s="50"/>
      <c r="C56" s="79" t="s">
        <v>125</v>
      </c>
      <c r="D56" s="45"/>
      <c r="E56" s="45"/>
      <c r="F56" s="45" t="s">
        <v>62</v>
      </c>
      <c r="G56" s="45"/>
      <c r="H56" s="45"/>
      <c r="I56" s="45" t="s">
        <v>62</v>
      </c>
      <c r="J56" s="101" t="s">
        <v>62</v>
      </c>
      <c r="K56" s="45"/>
      <c r="L56" s="45"/>
      <c r="M56" s="80"/>
      <c r="N56" s="114" t="s">
        <v>123</v>
      </c>
      <c r="O56" s="115"/>
      <c r="P56" s="116"/>
    </row>
    <row r="57" spans="2:16" ht="22.5" customHeight="1">
      <c r="B57" s="50"/>
      <c r="C57" s="79" t="s">
        <v>126</v>
      </c>
      <c r="D57" s="45"/>
      <c r="E57" s="45"/>
      <c r="F57" s="45"/>
      <c r="G57" s="45"/>
      <c r="H57" s="45"/>
      <c r="I57" s="45" t="s">
        <v>62</v>
      </c>
      <c r="J57" s="45"/>
      <c r="K57" s="45"/>
      <c r="L57" s="45"/>
      <c r="M57" s="80"/>
      <c r="N57" s="114" t="s">
        <v>123</v>
      </c>
      <c r="O57" s="115"/>
      <c r="P57" s="116"/>
    </row>
    <row r="58" spans="2:16" ht="22.5" customHeight="1">
      <c r="B58" s="50"/>
      <c r="C58" s="79" t="s">
        <v>127</v>
      </c>
      <c r="D58" s="45" t="s">
        <v>62</v>
      </c>
      <c r="E58" s="45"/>
      <c r="F58" s="45"/>
      <c r="G58" s="45"/>
      <c r="H58" s="45"/>
      <c r="I58" s="45"/>
      <c r="J58" s="45"/>
      <c r="K58" s="45"/>
      <c r="L58" s="45"/>
      <c r="M58" s="80"/>
      <c r="N58" s="114" t="s">
        <v>123</v>
      </c>
      <c r="O58" s="115"/>
      <c r="P58" s="116"/>
    </row>
    <row r="59" spans="2:16" ht="22.5" customHeight="1">
      <c r="B59" s="50"/>
      <c r="C59" s="79" t="s">
        <v>128</v>
      </c>
      <c r="D59" s="45" t="s">
        <v>62</v>
      </c>
      <c r="E59" s="45"/>
      <c r="F59" s="45" t="s">
        <v>62</v>
      </c>
      <c r="G59" s="45"/>
      <c r="H59" s="45" t="s">
        <v>62</v>
      </c>
      <c r="I59" s="45"/>
      <c r="J59" s="45"/>
      <c r="K59" s="45"/>
      <c r="L59" s="45"/>
      <c r="M59" s="80"/>
      <c r="N59" s="114" t="s">
        <v>123</v>
      </c>
      <c r="O59" s="115"/>
      <c r="P59" s="116"/>
    </row>
    <row r="60" spans="2:16" ht="22.5" customHeight="1">
      <c r="B60" s="50"/>
      <c r="C60" s="79" t="s">
        <v>129</v>
      </c>
      <c r="D60" s="45" t="s">
        <v>62</v>
      </c>
      <c r="E60" s="45" t="s">
        <v>146</v>
      </c>
      <c r="F60" s="45" t="s">
        <v>62</v>
      </c>
      <c r="G60" s="45" t="s">
        <v>147</v>
      </c>
      <c r="H60" s="45" t="s">
        <v>148</v>
      </c>
      <c r="I60" s="45"/>
      <c r="J60" s="45"/>
      <c r="K60" s="45" t="s">
        <v>146</v>
      </c>
      <c r="L60" s="45" t="s">
        <v>146</v>
      </c>
      <c r="M60" s="80"/>
      <c r="N60" s="114" t="s">
        <v>123</v>
      </c>
      <c r="O60" s="115"/>
      <c r="P60" s="116"/>
    </row>
    <row r="61" spans="2:16" ht="22.5" customHeight="1">
      <c r="B61" s="50"/>
      <c r="C61" s="79" t="s">
        <v>130</v>
      </c>
      <c r="D61" s="45" t="s">
        <v>62</v>
      </c>
      <c r="E61" s="45"/>
      <c r="F61" s="45" t="s">
        <v>62</v>
      </c>
      <c r="G61" s="45"/>
      <c r="H61" s="45" t="s">
        <v>62</v>
      </c>
      <c r="I61" s="45"/>
      <c r="J61" s="45"/>
      <c r="K61" s="45"/>
      <c r="L61" s="45"/>
      <c r="M61" s="80"/>
      <c r="N61" s="114" t="s">
        <v>123</v>
      </c>
      <c r="O61" s="115"/>
      <c r="P61" s="116"/>
    </row>
    <row r="62" spans="2:16" ht="22.5" customHeight="1">
      <c r="B62" s="50"/>
      <c r="C62" s="79" t="s">
        <v>131</v>
      </c>
      <c r="D62" s="45"/>
      <c r="E62" s="45"/>
      <c r="F62" s="45"/>
      <c r="G62" s="45"/>
      <c r="H62" s="45"/>
      <c r="I62" s="45" t="s">
        <v>62</v>
      </c>
      <c r="J62" s="45"/>
      <c r="K62" s="45"/>
      <c r="L62" s="45"/>
      <c r="M62" s="80"/>
      <c r="N62" s="114" t="s">
        <v>123</v>
      </c>
      <c r="O62" s="115"/>
      <c r="P62" s="116"/>
    </row>
    <row r="63" spans="2:16" ht="22.5" customHeight="1">
      <c r="B63" s="75"/>
      <c r="C63" s="76" t="s">
        <v>132</v>
      </c>
      <c r="D63" s="77"/>
      <c r="E63" s="77"/>
      <c r="F63" s="77"/>
      <c r="G63" s="77"/>
      <c r="H63" s="77"/>
      <c r="I63" s="77" t="s">
        <v>62</v>
      </c>
      <c r="J63" s="77"/>
      <c r="K63" s="77"/>
      <c r="L63" s="77"/>
      <c r="M63" s="28"/>
      <c r="N63" s="123" t="s">
        <v>124</v>
      </c>
      <c r="O63" s="124"/>
      <c r="P63" s="125"/>
    </row>
    <row r="64" spans="2:16" ht="22.5" customHeight="1">
      <c r="B64" s="50"/>
      <c r="C64" s="79" t="s">
        <v>133</v>
      </c>
      <c r="D64" s="81" t="s">
        <v>62</v>
      </c>
      <c r="E64" s="81" t="s">
        <v>62</v>
      </c>
      <c r="F64" s="81" t="s">
        <v>62</v>
      </c>
      <c r="G64" s="81" t="s">
        <v>62</v>
      </c>
      <c r="H64" s="81" t="s">
        <v>62</v>
      </c>
      <c r="I64" s="81"/>
      <c r="J64" s="81"/>
      <c r="K64" s="81" t="s">
        <v>62</v>
      </c>
      <c r="L64" s="81" t="s">
        <v>62</v>
      </c>
      <c r="M64" s="80" t="s">
        <v>62</v>
      </c>
      <c r="N64" s="114" t="s">
        <v>134</v>
      </c>
      <c r="O64" s="115"/>
      <c r="P64" s="116"/>
    </row>
    <row r="65" spans="2:16" ht="22.5" customHeight="1">
      <c r="B65" s="50"/>
      <c r="C65" s="57" t="s">
        <v>152</v>
      </c>
      <c r="D65" s="102" t="s">
        <v>140</v>
      </c>
      <c r="E65" s="102"/>
      <c r="F65" s="102" t="s">
        <v>140</v>
      </c>
      <c r="G65" s="102"/>
      <c r="H65" s="102"/>
      <c r="I65" s="102"/>
      <c r="J65" s="102"/>
      <c r="K65" s="102"/>
      <c r="L65" s="102"/>
      <c r="M65" s="103"/>
      <c r="N65" s="117" t="s">
        <v>153</v>
      </c>
      <c r="O65" s="118"/>
      <c r="P65" s="119"/>
    </row>
    <row r="66" spans="2:16" ht="22.5" customHeight="1" thickBot="1">
      <c r="B66" s="82"/>
      <c r="C66" s="83" t="s">
        <v>136</v>
      </c>
      <c r="D66" s="84" t="s">
        <v>62</v>
      </c>
      <c r="E66" s="84"/>
      <c r="F66" s="84" t="s">
        <v>62</v>
      </c>
      <c r="G66" s="84"/>
      <c r="H66" s="84" t="s">
        <v>62</v>
      </c>
      <c r="I66" s="84" t="s">
        <v>62</v>
      </c>
      <c r="J66" s="84"/>
      <c r="K66" s="84"/>
      <c r="L66" s="84"/>
      <c r="M66" s="85"/>
      <c r="N66" s="142" t="s">
        <v>137</v>
      </c>
      <c r="O66" s="143"/>
      <c r="P66" s="144"/>
    </row>
    <row r="67" spans="2:16" ht="14.25" customHeight="1" thickTop="1">
      <c r="B67" s="23" t="s">
        <v>100</v>
      </c>
      <c r="C67" s="60"/>
      <c r="D67" s="5"/>
      <c r="E67" s="5"/>
      <c r="F67" s="5"/>
      <c r="G67" s="5"/>
      <c r="H67" s="5"/>
      <c r="I67" s="5"/>
      <c r="J67" s="5"/>
      <c r="K67" s="5"/>
      <c r="L67" s="5"/>
      <c r="M67" s="5"/>
    </row>
    <row r="68" spans="2:16" ht="14.25" customHeight="1">
      <c r="B68" s="23" t="s">
        <v>109</v>
      </c>
      <c r="C68" s="60"/>
      <c r="D68" s="5"/>
      <c r="E68" s="5"/>
      <c r="F68" s="5"/>
      <c r="G68" s="5"/>
      <c r="H68" s="5"/>
      <c r="I68" s="5"/>
      <c r="J68" s="5"/>
      <c r="K68" s="5"/>
      <c r="L68" s="5"/>
      <c r="M68" s="5"/>
    </row>
    <row r="69" spans="2:16" s="7" customFormat="1" ht="14.25" customHeight="1">
      <c r="B69" s="66" t="s">
        <v>101</v>
      </c>
      <c r="C69" s="66"/>
      <c r="D69" s="67"/>
      <c r="E69" s="67"/>
      <c r="F69" s="67"/>
      <c r="G69" s="67"/>
      <c r="H69" s="67"/>
      <c r="I69" s="67"/>
      <c r="J69" s="67"/>
      <c r="K69" s="67"/>
      <c r="L69" s="67"/>
      <c r="M69" s="67"/>
    </row>
    <row r="70" spans="2:16" ht="13.5" customHeight="1">
      <c r="B70" s="23"/>
      <c r="C70" s="60"/>
      <c r="D70" s="5"/>
      <c r="E70" s="5"/>
      <c r="F70" s="5"/>
      <c r="G70" s="5"/>
      <c r="H70" s="5"/>
      <c r="I70" s="5"/>
      <c r="J70" s="5"/>
      <c r="K70" s="5"/>
      <c r="L70" s="5"/>
      <c r="M70" s="5"/>
    </row>
    <row r="71" spans="2:16" ht="13.5" customHeight="1" thickBot="1"/>
    <row r="72" spans="2:16" s="38" customFormat="1" ht="22.5" customHeight="1" thickTop="1">
      <c r="B72" s="47" t="s">
        <v>56</v>
      </c>
      <c r="C72" s="48"/>
      <c r="D72" s="48"/>
      <c r="E72" s="48"/>
      <c r="F72" s="48"/>
      <c r="G72" s="48"/>
      <c r="H72" s="48"/>
      <c r="I72" s="48"/>
      <c r="J72" s="48"/>
      <c r="K72" s="48"/>
      <c r="L72" s="48"/>
      <c r="M72" s="48"/>
      <c r="N72" s="48"/>
      <c r="O72" s="48"/>
      <c r="P72" s="48"/>
    </row>
    <row r="73" spans="2:16" s="64" customFormat="1" ht="13.5" customHeight="1">
      <c r="B73" s="62"/>
      <c r="C73" s="63"/>
      <c r="D73" s="63"/>
      <c r="E73" s="63"/>
      <c r="F73" s="63"/>
      <c r="G73" s="63"/>
      <c r="H73" s="63"/>
      <c r="I73" s="63"/>
      <c r="J73" s="63"/>
      <c r="K73" s="63"/>
      <c r="L73" s="63"/>
      <c r="M73" s="63"/>
    </row>
    <row r="74" spans="2:16">
      <c r="C74" s="6" t="s">
        <v>105</v>
      </c>
      <c r="F74" s="7" t="s">
        <v>106</v>
      </c>
    </row>
    <row r="78" spans="2:16" ht="14.25" customHeight="1"/>
    <row r="79" spans="2:16" s="3" customFormat="1" ht="14.25" customHeight="1">
      <c r="C79" s="69" t="s">
        <v>121</v>
      </c>
    </row>
    <row r="80" spans="2:16" ht="14.25" customHeight="1">
      <c r="C80" s="7" t="s">
        <v>120</v>
      </c>
    </row>
    <row r="81" spans="2:16" ht="13.5" customHeight="1" thickBot="1"/>
    <row r="82" spans="2:16" s="38" customFormat="1" ht="22.5" customHeight="1" thickTop="1">
      <c r="B82" s="47" t="s">
        <v>102</v>
      </c>
      <c r="C82" s="48"/>
      <c r="D82" s="48"/>
      <c r="E82" s="48"/>
      <c r="F82" s="48"/>
      <c r="G82" s="48"/>
      <c r="H82" s="48"/>
      <c r="I82" s="48"/>
      <c r="J82" s="48"/>
      <c r="K82" s="48"/>
      <c r="L82" s="48"/>
      <c r="M82" s="48"/>
      <c r="N82" s="48"/>
      <c r="O82" s="48"/>
      <c r="P82" s="48"/>
    </row>
  </sheetData>
  <sheetProtection password="89CB" sheet="1" objects="1" scenarios="1"/>
  <mergeCells count="61">
    <mergeCell ref="N66:P66"/>
    <mergeCell ref="B22:C22"/>
    <mergeCell ref="D16:G16"/>
    <mergeCell ref="D17:G17"/>
    <mergeCell ref="N25:P25"/>
    <mergeCell ref="N26:P26"/>
    <mergeCell ref="N27:P27"/>
    <mergeCell ref="N28:P28"/>
    <mergeCell ref="N29:P29"/>
    <mergeCell ref="N30:P30"/>
    <mergeCell ref="N31:P31"/>
    <mergeCell ref="N32:P32"/>
    <mergeCell ref="N33:P33"/>
    <mergeCell ref="N34:P34"/>
    <mergeCell ref="B16:C16"/>
    <mergeCell ref="B17:C17"/>
    <mergeCell ref="N23:P23"/>
    <mergeCell ref="N24:P24"/>
    <mergeCell ref="N65:P65"/>
    <mergeCell ref="D10:G10"/>
    <mergeCell ref="D11:G11"/>
    <mergeCell ref="D12:G12"/>
    <mergeCell ref="D14:G14"/>
    <mergeCell ref="B15:C15"/>
    <mergeCell ref="B10:C10"/>
    <mergeCell ref="B11:C11"/>
    <mergeCell ref="B12:C12"/>
    <mergeCell ref="B13:C13"/>
    <mergeCell ref="B14:C14"/>
    <mergeCell ref="D13:G13"/>
    <mergeCell ref="D15:G15"/>
    <mergeCell ref="N36:P36"/>
    <mergeCell ref="N35:P35"/>
    <mergeCell ref="N37:P37"/>
    <mergeCell ref="N39:P39"/>
    <mergeCell ref="N38:P38"/>
    <mergeCell ref="N42:P42"/>
    <mergeCell ref="N43:P43"/>
    <mergeCell ref="N40:P40"/>
    <mergeCell ref="N41:P41"/>
    <mergeCell ref="N44:P44"/>
    <mergeCell ref="N64:P64"/>
    <mergeCell ref="N54:P54"/>
    <mergeCell ref="N55:P55"/>
    <mergeCell ref="N49:P49"/>
    <mergeCell ref="N50:P50"/>
    <mergeCell ref="N51:P51"/>
    <mergeCell ref="N52:P52"/>
    <mergeCell ref="N53:P53"/>
    <mergeCell ref="N63:P63"/>
    <mergeCell ref="N62:P62"/>
    <mergeCell ref="N60:P60"/>
    <mergeCell ref="N61:P61"/>
    <mergeCell ref="N56:P56"/>
    <mergeCell ref="N57:P57"/>
    <mergeCell ref="N58:P58"/>
    <mergeCell ref="N59:P59"/>
    <mergeCell ref="N45:P45"/>
    <mergeCell ref="N46:P46"/>
    <mergeCell ref="N47:P47"/>
    <mergeCell ref="N48:P48"/>
  </mergeCells>
  <phoneticPr fontId="2"/>
  <conditionalFormatting sqref="D10:G17">
    <cfRule type="containsBlanks" dxfId="8" priority="1">
      <formula>LEN(TRIM(D10))=0</formula>
    </cfRule>
  </conditionalFormatting>
  <pageMargins left="0.7" right="0.7" top="0.75" bottom="0.75" header="0.3" footer="0.3"/>
  <pageSetup paperSize="9" scale="42" orientation="portrait" r:id="rId1"/>
  <drawing r:id="rId2"/>
  <legacyDrawing r:id="rId3"/>
  <controls>
    <mc:AlternateContent xmlns:mc="http://schemas.openxmlformats.org/markup-compatibility/2006">
      <mc:Choice Requires="x14">
        <control shapeId="36914" r:id="rId4" name="CheckBox45">
          <controlPr defaultSize="0" autoLine="0" r:id="rId5">
            <anchor moveWithCells="1">
              <from>
                <xdr:col>1</xdr:col>
                <xdr:colOff>95250</xdr:colOff>
                <xdr:row>64</xdr:row>
                <xdr:rowOff>57150</xdr:rowOff>
              </from>
              <to>
                <xdr:col>1</xdr:col>
                <xdr:colOff>276225</xdr:colOff>
                <xdr:row>64</xdr:row>
                <xdr:rowOff>228600</xdr:rowOff>
              </to>
            </anchor>
          </controlPr>
        </control>
      </mc:Choice>
      <mc:Fallback>
        <control shapeId="36914" r:id="rId4" name="CheckBox45"/>
      </mc:Fallback>
    </mc:AlternateContent>
    <mc:AlternateContent xmlns:mc="http://schemas.openxmlformats.org/markup-compatibility/2006">
      <mc:Choice Requires="x14">
        <control shapeId="36909" r:id="rId6" name="CheckBox42">
          <controlPr defaultSize="0" autoLine="0" r:id="rId7">
            <anchor moveWithCells="1">
              <from>
                <xdr:col>1</xdr:col>
                <xdr:colOff>95250</xdr:colOff>
                <xdr:row>65</xdr:row>
                <xdr:rowOff>66675</xdr:rowOff>
              </from>
              <to>
                <xdr:col>1</xdr:col>
                <xdr:colOff>285750</xdr:colOff>
                <xdr:row>65</xdr:row>
                <xdr:rowOff>238125</xdr:rowOff>
              </to>
            </anchor>
          </controlPr>
        </control>
      </mc:Choice>
      <mc:Fallback>
        <control shapeId="36909" r:id="rId6" name="CheckBox42"/>
      </mc:Fallback>
    </mc:AlternateContent>
    <mc:AlternateContent xmlns:mc="http://schemas.openxmlformats.org/markup-compatibility/2006">
      <mc:Choice Requires="x14">
        <control shapeId="36907" r:id="rId8" name="CheckBox39">
          <controlPr defaultSize="0" autoLine="0" r:id="rId9">
            <anchor moveWithCells="1">
              <from>
                <xdr:col>1</xdr:col>
                <xdr:colOff>95250</xdr:colOff>
                <xdr:row>62</xdr:row>
                <xdr:rowOff>66675</xdr:rowOff>
              </from>
              <to>
                <xdr:col>1</xdr:col>
                <xdr:colOff>285750</xdr:colOff>
                <xdr:row>62</xdr:row>
                <xdr:rowOff>238125</xdr:rowOff>
              </to>
            </anchor>
          </controlPr>
        </control>
      </mc:Choice>
      <mc:Fallback>
        <control shapeId="36907" r:id="rId8" name="CheckBox39"/>
      </mc:Fallback>
    </mc:AlternateContent>
    <mc:AlternateContent xmlns:mc="http://schemas.openxmlformats.org/markup-compatibility/2006">
      <mc:Choice Requires="x14">
        <control shapeId="36906" r:id="rId10" name="CheckBox38">
          <controlPr defaultSize="0" autoLine="0" r:id="rId11">
            <anchor moveWithCells="1">
              <from>
                <xdr:col>1</xdr:col>
                <xdr:colOff>95250</xdr:colOff>
                <xdr:row>61</xdr:row>
                <xdr:rowOff>57150</xdr:rowOff>
              </from>
              <to>
                <xdr:col>1</xdr:col>
                <xdr:colOff>285750</xdr:colOff>
                <xdr:row>61</xdr:row>
                <xdr:rowOff>228600</xdr:rowOff>
              </to>
            </anchor>
          </controlPr>
        </control>
      </mc:Choice>
      <mc:Fallback>
        <control shapeId="36906" r:id="rId10" name="CheckBox38"/>
      </mc:Fallback>
    </mc:AlternateContent>
    <mc:AlternateContent xmlns:mc="http://schemas.openxmlformats.org/markup-compatibility/2006">
      <mc:Choice Requires="x14">
        <control shapeId="36905" r:id="rId12" name="CheckBox37">
          <controlPr defaultSize="0" autoLine="0" r:id="rId13">
            <anchor moveWithCells="1">
              <from>
                <xdr:col>1</xdr:col>
                <xdr:colOff>95250</xdr:colOff>
                <xdr:row>60</xdr:row>
                <xdr:rowOff>76200</xdr:rowOff>
              </from>
              <to>
                <xdr:col>1</xdr:col>
                <xdr:colOff>285750</xdr:colOff>
                <xdr:row>60</xdr:row>
                <xdr:rowOff>247650</xdr:rowOff>
              </to>
            </anchor>
          </controlPr>
        </control>
      </mc:Choice>
      <mc:Fallback>
        <control shapeId="36905" r:id="rId12" name="CheckBox37"/>
      </mc:Fallback>
    </mc:AlternateContent>
    <mc:AlternateContent xmlns:mc="http://schemas.openxmlformats.org/markup-compatibility/2006">
      <mc:Choice Requires="x14">
        <control shapeId="36904" r:id="rId14" name="CheckBox36">
          <controlPr defaultSize="0" autoLine="0" r:id="rId15">
            <anchor moveWithCells="1">
              <from>
                <xdr:col>1</xdr:col>
                <xdr:colOff>95250</xdr:colOff>
                <xdr:row>59</xdr:row>
                <xdr:rowOff>66675</xdr:rowOff>
              </from>
              <to>
                <xdr:col>1</xdr:col>
                <xdr:colOff>285750</xdr:colOff>
                <xdr:row>59</xdr:row>
                <xdr:rowOff>238125</xdr:rowOff>
              </to>
            </anchor>
          </controlPr>
        </control>
      </mc:Choice>
      <mc:Fallback>
        <control shapeId="36904" r:id="rId14" name="CheckBox36"/>
      </mc:Fallback>
    </mc:AlternateContent>
    <mc:AlternateContent xmlns:mc="http://schemas.openxmlformats.org/markup-compatibility/2006">
      <mc:Choice Requires="x14">
        <control shapeId="36903" r:id="rId16" name="CheckBox35">
          <controlPr defaultSize="0" autoLine="0" r:id="rId17">
            <anchor moveWithCells="1">
              <from>
                <xdr:col>1</xdr:col>
                <xdr:colOff>95250</xdr:colOff>
                <xdr:row>58</xdr:row>
                <xdr:rowOff>66675</xdr:rowOff>
              </from>
              <to>
                <xdr:col>1</xdr:col>
                <xdr:colOff>285750</xdr:colOff>
                <xdr:row>58</xdr:row>
                <xdr:rowOff>238125</xdr:rowOff>
              </to>
            </anchor>
          </controlPr>
        </control>
      </mc:Choice>
      <mc:Fallback>
        <control shapeId="36903" r:id="rId16" name="CheckBox35"/>
      </mc:Fallback>
    </mc:AlternateContent>
    <mc:AlternateContent xmlns:mc="http://schemas.openxmlformats.org/markup-compatibility/2006">
      <mc:Choice Requires="x14">
        <control shapeId="36902" r:id="rId18" name="CheckBox34">
          <controlPr defaultSize="0" autoLine="0" r:id="rId19">
            <anchor moveWithCells="1">
              <from>
                <xdr:col>1</xdr:col>
                <xdr:colOff>95250</xdr:colOff>
                <xdr:row>57</xdr:row>
                <xdr:rowOff>66675</xdr:rowOff>
              </from>
              <to>
                <xdr:col>1</xdr:col>
                <xdr:colOff>285750</xdr:colOff>
                <xdr:row>57</xdr:row>
                <xdr:rowOff>238125</xdr:rowOff>
              </to>
            </anchor>
          </controlPr>
        </control>
      </mc:Choice>
      <mc:Fallback>
        <control shapeId="36902" r:id="rId18" name="CheckBox34"/>
      </mc:Fallback>
    </mc:AlternateContent>
    <mc:AlternateContent xmlns:mc="http://schemas.openxmlformats.org/markup-compatibility/2006">
      <mc:Choice Requires="x14">
        <control shapeId="36901" r:id="rId20" name="CheckBox33">
          <controlPr defaultSize="0" autoLine="0" r:id="rId21">
            <anchor moveWithCells="1">
              <from>
                <xdr:col>1</xdr:col>
                <xdr:colOff>95250</xdr:colOff>
                <xdr:row>56</xdr:row>
                <xdr:rowOff>66675</xdr:rowOff>
              </from>
              <to>
                <xdr:col>1</xdr:col>
                <xdr:colOff>285750</xdr:colOff>
                <xdr:row>56</xdr:row>
                <xdr:rowOff>238125</xdr:rowOff>
              </to>
            </anchor>
          </controlPr>
        </control>
      </mc:Choice>
      <mc:Fallback>
        <control shapeId="36901" r:id="rId20" name="CheckBox33"/>
      </mc:Fallback>
    </mc:AlternateContent>
    <mc:AlternateContent xmlns:mc="http://schemas.openxmlformats.org/markup-compatibility/2006">
      <mc:Choice Requires="x14">
        <control shapeId="36900" r:id="rId22" name="CheckBox32">
          <controlPr defaultSize="0" autoLine="0" r:id="rId23">
            <anchor moveWithCells="1">
              <from>
                <xdr:col>1</xdr:col>
                <xdr:colOff>95250</xdr:colOff>
                <xdr:row>55</xdr:row>
                <xdr:rowOff>66675</xdr:rowOff>
              </from>
              <to>
                <xdr:col>1</xdr:col>
                <xdr:colOff>285750</xdr:colOff>
                <xdr:row>55</xdr:row>
                <xdr:rowOff>238125</xdr:rowOff>
              </to>
            </anchor>
          </controlPr>
        </control>
      </mc:Choice>
      <mc:Fallback>
        <control shapeId="36900" r:id="rId22" name="CheckBox32"/>
      </mc:Fallback>
    </mc:AlternateContent>
    <mc:AlternateContent xmlns:mc="http://schemas.openxmlformats.org/markup-compatibility/2006">
      <mc:Choice Requires="x14">
        <control shapeId="36898" r:id="rId24" name="CheckBox31">
          <controlPr defaultSize="0" autoLine="0" r:id="rId25">
            <anchor moveWithCells="1">
              <from>
                <xdr:col>1</xdr:col>
                <xdr:colOff>95250</xdr:colOff>
                <xdr:row>54</xdr:row>
                <xdr:rowOff>57150</xdr:rowOff>
              </from>
              <to>
                <xdr:col>1</xdr:col>
                <xdr:colOff>285750</xdr:colOff>
                <xdr:row>54</xdr:row>
                <xdr:rowOff>228600</xdr:rowOff>
              </to>
            </anchor>
          </controlPr>
        </control>
      </mc:Choice>
      <mc:Fallback>
        <control shapeId="36898" r:id="rId24" name="CheckBox31"/>
      </mc:Fallback>
    </mc:AlternateContent>
    <mc:AlternateContent xmlns:mc="http://schemas.openxmlformats.org/markup-compatibility/2006">
      <mc:Choice Requires="x14">
        <control shapeId="36897" r:id="rId26" name="CheckBox30">
          <controlPr defaultSize="0" autoLine="0" r:id="rId27">
            <anchor moveWithCells="1">
              <from>
                <xdr:col>1</xdr:col>
                <xdr:colOff>95250</xdr:colOff>
                <xdr:row>53</xdr:row>
                <xdr:rowOff>66675</xdr:rowOff>
              </from>
              <to>
                <xdr:col>1</xdr:col>
                <xdr:colOff>285750</xdr:colOff>
                <xdr:row>53</xdr:row>
                <xdr:rowOff>238125</xdr:rowOff>
              </to>
            </anchor>
          </controlPr>
        </control>
      </mc:Choice>
      <mc:Fallback>
        <control shapeId="36897" r:id="rId26" name="CheckBox30"/>
      </mc:Fallback>
    </mc:AlternateContent>
    <mc:AlternateContent xmlns:mc="http://schemas.openxmlformats.org/markup-compatibility/2006">
      <mc:Choice Requires="x14">
        <control shapeId="36896" r:id="rId28" name="CheckBox29">
          <controlPr defaultSize="0" autoLine="0" r:id="rId29">
            <anchor moveWithCells="1">
              <from>
                <xdr:col>1</xdr:col>
                <xdr:colOff>95250</xdr:colOff>
                <xdr:row>52</xdr:row>
                <xdr:rowOff>57150</xdr:rowOff>
              </from>
              <to>
                <xdr:col>1</xdr:col>
                <xdr:colOff>285750</xdr:colOff>
                <xdr:row>52</xdr:row>
                <xdr:rowOff>238125</xdr:rowOff>
              </to>
            </anchor>
          </controlPr>
        </control>
      </mc:Choice>
      <mc:Fallback>
        <control shapeId="36896" r:id="rId28" name="CheckBox29"/>
      </mc:Fallback>
    </mc:AlternateContent>
    <mc:AlternateContent xmlns:mc="http://schemas.openxmlformats.org/markup-compatibility/2006">
      <mc:Choice Requires="x14">
        <control shapeId="36895" r:id="rId30" name="CheckBox28">
          <controlPr defaultSize="0" autoLine="0" r:id="rId31">
            <anchor moveWithCells="1">
              <from>
                <xdr:col>1</xdr:col>
                <xdr:colOff>95250</xdr:colOff>
                <xdr:row>51</xdr:row>
                <xdr:rowOff>66675</xdr:rowOff>
              </from>
              <to>
                <xdr:col>1</xdr:col>
                <xdr:colOff>285750</xdr:colOff>
                <xdr:row>51</xdr:row>
                <xdr:rowOff>238125</xdr:rowOff>
              </to>
            </anchor>
          </controlPr>
        </control>
      </mc:Choice>
      <mc:Fallback>
        <control shapeId="36895" r:id="rId30" name="CheckBox28"/>
      </mc:Fallback>
    </mc:AlternateContent>
    <mc:AlternateContent xmlns:mc="http://schemas.openxmlformats.org/markup-compatibility/2006">
      <mc:Choice Requires="x14">
        <control shapeId="36894" r:id="rId32" name="CheckBox27">
          <controlPr defaultSize="0" autoLine="0" r:id="rId33">
            <anchor moveWithCells="1">
              <from>
                <xdr:col>1</xdr:col>
                <xdr:colOff>95250</xdr:colOff>
                <xdr:row>50</xdr:row>
                <xdr:rowOff>66675</xdr:rowOff>
              </from>
              <to>
                <xdr:col>1</xdr:col>
                <xdr:colOff>285750</xdr:colOff>
                <xdr:row>50</xdr:row>
                <xdr:rowOff>238125</xdr:rowOff>
              </to>
            </anchor>
          </controlPr>
        </control>
      </mc:Choice>
      <mc:Fallback>
        <control shapeId="36894" r:id="rId32" name="CheckBox27"/>
      </mc:Fallback>
    </mc:AlternateContent>
    <mc:AlternateContent xmlns:mc="http://schemas.openxmlformats.org/markup-compatibility/2006">
      <mc:Choice Requires="x14">
        <control shapeId="36893" r:id="rId34" name="CheckBox26">
          <controlPr defaultSize="0" autoLine="0" r:id="rId35">
            <anchor moveWithCells="1">
              <from>
                <xdr:col>1</xdr:col>
                <xdr:colOff>95250</xdr:colOff>
                <xdr:row>49</xdr:row>
                <xdr:rowOff>66675</xdr:rowOff>
              </from>
              <to>
                <xdr:col>1</xdr:col>
                <xdr:colOff>285750</xdr:colOff>
                <xdr:row>49</xdr:row>
                <xdr:rowOff>238125</xdr:rowOff>
              </to>
            </anchor>
          </controlPr>
        </control>
      </mc:Choice>
      <mc:Fallback>
        <control shapeId="36893" r:id="rId34" name="CheckBox26"/>
      </mc:Fallback>
    </mc:AlternateContent>
    <mc:AlternateContent xmlns:mc="http://schemas.openxmlformats.org/markup-compatibility/2006">
      <mc:Choice Requires="x14">
        <control shapeId="36892" r:id="rId36" name="CheckBox25">
          <controlPr defaultSize="0" autoLine="0" r:id="rId37">
            <anchor moveWithCells="1">
              <from>
                <xdr:col>1</xdr:col>
                <xdr:colOff>114300</xdr:colOff>
                <xdr:row>48</xdr:row>
                <xdr:rowOff>76200</xdr:rowOff>
              </from>
              <to>
                <xdr:col>1</xdr:col>
                <xdr:colOff>266700</xdr:colOff>
                <xdr:row>48</xdr:row>
                <xdr:rowOff>257175</xdr:rowOff>
              </to>
            </anchor>
          </controlPr>
        </control>
      </mc:Choice>
      <mc:Fallback>
        <control shapeId="36892" r:id="rId36" name="CheckBox25"/>
      </mc:Fallback>
    </mc:AlternateContent>
    <mc:AlternateContent xmlns:mc="http://schemas.openxmlformats.org/markup-compatibility/2006">
      <mc:Choice Requires="x14">
        <control shapeId="36891" r:id="rId38" name="CheckBox24">
          <controlPr defaultSize="0" autoLine="0" r:id="rId39">
            <anchor moveWithCells="1">
              <from>
                <xdr:col>1</xdr:col>
                <xdr:colOff>114300</xdr:colOff>
                <xdr:row>47</xdr:row>
                <xdr:rowOff>57150</xdr:rowOff>
              </from>
              <to>
                <xdr:col>1</xdr:col>
                <xdr:colOff>266700</xdr:colOff>
                <xdr:row>47</xdr:row>
                <xdr:rowOff>247650</xdr:rowOff>
              </to>
            </anchor>
          </controlPr>
        </control>
      </mc:Choice>
      <mc:Fallback>
        <control shapeId="36891" r:id="rId38" name="CheckBox24"/>
      </mc:Fallback>
    </mc:AlternateContent>
    <mc:AlternateContent xmlns:mc="http://schemas.openxmlformats.org/markup-compatibility/2006">
      <mc:Choice Requires="x14">
        <control shapeId="36890" r:id="rId40" name="CheckBox23">
          <controlPr defaultSize="0" autoLine="0" r:id="rId41">
            <anchor moveWithCells="1">
              <from>
                <xdr:col>1</xdr:col>
                <xdr:colOff>114300</xdr:colOff>
                <xdr:row>46</xdr:row>
                <xdr:rowOff>76200</xdr:rowOff>
              </from>
              <to>
                <xdr:col>1</xdr:col>
                <xdr:colOff>266700</xdr:colOff>
                <xdr:row>46</xdr:row>
                <xdr:rowOff>257175</xdr:rowOff>
              </to>
            </anchor>
          </controlPr>
        </control>
      </mc:Choice>
      <mc:Fallback>
        <control shapeId="36890" r:id="rId40" name="CheckBox23"/>
      </mc:Fallback>
    </mc:AlternateContent>
    <mc:AlternateContent xmlns:mc="http://schemas.openxmlformats.org/markup-compatibility/2006">
      <mc:Choice Requires="x14">
        <control shapeId="36889" r:id="rId42" name="CheckBox22">
          <controlPr defaultSize="0" autoLine="0" r:id="rId43">
            <anchor moveWithCells="1">
              <from>
                <xdr:col>1</xdr:col>
                <xdr:colOff>114300</xdr:colOff>
                <xdr:row>45</xdr:row>
                <xdr:rowOff>66675</xdr:rowOff>
              </from>
              <to>
                <xdr:col>1</xdr:col>
                <xdr:colOff>266700</xdr:colOff>
                <xdr:row>45</xdr:row>
                <xdr:rowOff>247650</xdr:rowOff>
              </to>
            </anchor>
          </controlPr>
        </control>
      </mc:Choice>
      <mc:Fallback>
        <control shapeId="36889" r:id="rId42" name="CheckBox22"/>
      </mc:Fallback>
    </mc:AlternateContent>
    <mc:AlternateContent xmlns:mc="http://schemas.openxmlformats.org/markup-compatibility/2006">
      <mc:Choice Requires="x14">
        <control shapeId="36888" r:id="rId44" name="CheckBox21">
          <controlPr defaultSize="0" autoLine="0" r:id="rId45">
            <anchor moveWithCells="1">
              <from>
                <xdr:col>1</xdr:col>
                <xdr:colOff>114300</xdr:colOff>
                <xdr:row>44</xdr:row>
                <xdr:rowOff>66675</xdr:rowOff>
              </from>
              <to>
                <xdr:col>1</xdr:col>
                <xdr:colOff>266700</xdr:colOff>
                <xdr:row>44</xdr:row>
                <xdr:rowOff>247650</xdr:rowOff>
              </to>
            </anchor>
          </controlPr>
        </control>
      </mc:Choice>
      <mc:Fallback>
        <control shapeId="36888" r:id="rId44" name="CheckBox21"/>
      </mc:Fallback>
    </mc:AlternateContent>
    <mc:AlternateContent xmlns:mc="http://schemas.openxmlformats.org/markup-compatibility/2006">
      <mc:Choice Requires="x14">
        <control shapeId="36887" r:id="rId46" name="CheckBox20">
          <controlPr defaultSize="0" autoLine="0" r:id="rId47">
            <anchor moveWithCells="1">
              <from>
                <xdr:col>1</xdr:col>
                <xdr:colOff>95250</xdr:colOff>
                <xdr:row>43</xdr:row>
                <xdr:rowOff>66675</xdr:rowOff>
              </from>
              <to>
                <xdr:col>1</xdr:col>
                <xdr:colOff>276225</xdr:colOff>
                <xdr:row>43</xdr:row>
                <xdr:rowOff>238125</xdr:rowOff>
              </to>
            </anchor>
          </controlPr>
        </control>
      </mc:Choice>
      <mc:Fallback>
        <control shapeId="36887" r:id="rId46" name="CheckBox20"/>
      </mc:Fallback>
    </mc:AlternateContent>
    <mc:AlternateContent xmlns:mc="http://schemas.openxmlformats.org/markup-compatibility/2006">
      <mc:Choice Requires="x14">
        <control shapeId="36886" r:id="rId48" name="CheckBox19">
          <controlPr defaultSize="0" autoLine="0" r:id="rId49">
            <anchor moveWithCells="1">
              <from>
                <xdr:col>1</xdr:col>
                <xdr:colOff>95250</xdr:colOff>
                <xdr:row>42</xdr:row>
                <xdr:rowOff>76200</xdr:rowOff>
              </from>
              <to>
                <xdr:col>1</xdr:col>
                <xdr:colOff>276225</xdr:colOff>
                <xdr:row>42</xdr:row>
                <xdr:rowOff>247650</xdr:rowOff>
              </to>
            </anchor>
          </controlPr>
        </control>
      </mc:Choice>
      <mc:Fallback>
        <control shapeId="36886" r:id="rId48" name="CheckBox19"/>
      </mc:Fallback>
    </mc:AlternateContent>
    <mc:AlternateContent xmlns:mc="http://schemas.openxmlformats.org/markup-compatibility/2006">
      <mc:Choice Requires="x14">
        <control shapeId="36865" r:id="rId50" name="CheckBox1">
          <controlPr defaultSize="0" autoLine="0" r:id="rId51">
            <anchor moveWithCells="1">
              <from>
                <xdr:col>1</xdr:col>
                <xdr:colOff>104775</xdr:colOff>
                <xdr:row>23</xdr:row>
                <xdr:rowOff>57150</xdr:rowOff>
              </from>
              <to>
                <xdr:col>1</xdr:col>
                <xdr:colOff>266700</xdr:colOff>
                <xdr:row>23</xdr:row>
                <xdr:rowOff>228600</xdr:rowOff>
              </to>
            </anchor>
          </controlPr>
        </control>
      </mc:Choice>
      <mc:Fallback>
        <control shapeId="36865" r:id="rId50" name="CheckBox1"/>
      </mc:Fallback>
    </mc:AlternateContent>
    <mc:AlternateContent xmlns:mc="http://schemas.openxmlformats.org/markup-compatibility/2006">
      <mc:Choice Requires="x14">
        <control shapeId="36867" r:id="rId52" name="CheckBox2">
          <controlPr defaultSize="0" autoLine="0" r:id="rId53">
            <anchor moveWithCells="1">
              <from>
                <xdr:col>1</xdr:col>
                <xdr:colOff>95250</xdr:colOff>
                <xdr:row>24</xdr:row>
                <xdr:rowOff>57150</xdr:rowOff>
              </from>
              <to>
                <xdr:col>1</xdr:col>
                <xdr:colOff>276225</xdr:colOff>
                <xdr:row>24</xdr:row>
                <xdr:rowOff>228600</xdr:rowOff>
              </to>
            </anchor>
          </controlPr>
        </control>
      </mc:Choice>
      <mc:Fallback>
        <control shapeId="36867" r:id="rId52" name="CheckBox2"/>
      </mc:Fallback>
    </mc:AlternateContent>
    <mc:AlternateContent xmlns:mc="http://schemas.openxmlformats.org/markup-compatibility/2006">
      <mc:Choice Requires="x14">
        <control shapeId="36868" r:id="rId54" name="CheckBox3">
          <controlPr defaultSize="0" autoLine="0" r:id="rId55">
            <anchor moveWithCells="1">
              <from>
                <xdr:col>1</xdr:col>
                <xdr:colOff>95250</xdr:colOff>
                <xdr:row>25</xdr:row>
                <xdr:rowOff>66675</xdr:rowOff>
              </from>
              <to>
                <xdr:col>1</xdr:col>
                <xdr:colOff>276225</xdr:colOff>
                <xdr:row>25</xdr:row>
                <xdr:rowOff>238125</xdr:rowOff>
              </to>
            </anchor>
          </controlPr>
        </control>
      </mc:Choice>
      <mc:Fallback>
        <control shapeId="36868" r:id="rId54" name="CheckBox3"/>
      </mc:Fallback>
    </mc:AlternateContent>
    <mc:AlternateContent xmlns:mc="http://schemas.openxmlformats.org/markup-compatibility/2006">
      <mc:Choice Requires="x14">
        <control shapeId="36869" r:id="rId56" name="CheckBox4">
          <controlPr defaultSize="0" autoLine="0" r:id="rId57">
            <anchor moveWithCells="1">
              <from>
                <xdr:col>1</xdr:col>
                <xdr:colOff>95250</xdr:colOff>
                <xdr:row>26</xdr:row>
                <xdr:rowOff>66675</xdr:rowOff>
              </from>
              <to>
                <xdr:col>1</xdr:col>
                <xdr:colOff>276225</xdr:colOff>
                <xdr:row>26</xdr:row>
                <xdr:rowOff>238125</xdr:rowOff>
              </to>
            </anchor>
          </controlPr>
        </control>
      </mc:Choice>
      <mc:Fallback>
        <control shapeId="36869" r:id="rId56" name="CheckBox4"/>
      </mc:Fallback>
    </mc:AlternateContent>
    <mc:AlternateContent xmlns:mc="http://schemas.openxmlformats.org/markup-compatibility/2006">
      <mc:Choice Requires="x14">
        <control shapeId="36870" r:id="rId58" name="CommandButton1">
          <controlPr defaultSize="0" autoLine="0" r:id="rId59">
            <anchor moveWithCells="1">
              <from>
                <xdr:col>2</xdr:col>
                <xdr:colOff>38100</xdr:colOff>
                <xdr:row>74</xdr:row>
                <xdr:rowOff>57150</xdr:rowOff>
              </from>
              <to>
                <xdr:col>3</xdr:col>
                <xdr:colOff>390525</xdr:colOff>
                <xdr:row>77</xdr:row>
                <xdr:rowOff>123825</xdr:rowOff>
              </to>
            </anchor>
          </controlPr>
        </control>
      </mc:Choice>
      <mc:Fallback>
        <control shapeId="36870" r:id="rId58" name="CommandButton1"/>
      </mc:Fallback>
    </mc:AlternateContent>
    <mc:AlternateContent xmlns:mc="http://schemas.openxmlformats.org/markup-compatibility/2006">
      <mc:Choice Requires="x14">
        <control shapeId="36871" r:id="rId60" name="CheckBox5">
          <controlPr defaultSize="0" autoLine="0" r:id="rId61">
            <anchor moveWithCells="1">
              <from>
                <xdr:col>1</xdr:col>
                <xdr:colOff>95250</xdr:colOff>
                <xdr:row>27</xdr:row>
                <xdr:rowOff>57150</xdr:rowOff>
              </from>
              <to>
                <xdr:col>1</xdr:col>
                <xdr:colOff>276225</xdr:colOff>
                <xdr:row>27</xdr:row>
                <xdr:rowOff>228600</xdr:rowOff>
              </to>
            </anchor>
          </controlPr>
        </control>
      </mc:Choice>
      <mc:Fallback>
        <control shapeId="36871" r:id="rId60" name="CheckBox5"/>
      </mc:Fallback>
    </mc:AlternateContent>
    <mc:AlternateContent xmlns:mc="http://schemas.openxmlformats.org/markup-compatibility/2006">
      <mc:Choice Requires="x14">
        <control shapeId="36873" r:id="rId62" name="CheckBox6">
          <controlPr defaultSize="0" autoLine="0" r:id="rId63">
            <anchor moveWithCells="1">
              <from>
                <xdr:col>1</xdr:col>
                <xdr:colOff>95250</xdr:colOff>
                <xdr:row>28</xdr:row>
                <xdr:rowOff>47625</xdr:rowOff>
              </from>
              <to>
                <xdr:col>1</xdr:col>
                <xdr:colOff>276225</xdr:colOff>
                <xdr:row>28</xdr:row>
                <xdr:rowOff>219075</xdr:rowOff>
              </to>
            </anchor>
          </controlPr>
        </control>
      </mc:Choice>
      <mc:Fallback>
        <control shapeId="36873" r:id="rId62" name="CheckBox6"/>
      </mc:Fallback>
    </mc:AlternateContent>
    <mc:AlternateContent xmlns:mc="http://schemas.openxmlformats.org/markup-compatibility/2006">
      <mc:Choice Requires="x14">
        <control shapeId="36874" r:id="rId64" name="CheckBox7">
          <controlPr defaultSize="0" autoLine="0" r:id="rId65">
            <anchor moveWithCells="1">
              <from>
                <xdr:col>1</xdr:col>
                <xdr:colOff>95250</xdr:colOff>
                <xdr:row>29</xdr:row>
                <xdr:rowOff>66675</xdr:rowOff>
              </from>
              <to>
                <xdr:col>1</xdr:col>
                <xdr:colOff>276225</xdr:colOff>
                <xdr:row>29</xdr:row>
                <xdr:rowOff>238125</xdr:rowOff>
              </to>
            </anchor>
          </controlPr>
        </control>
      </mc:Choice>
      <mc:Fallback>
        <control shapeId="36874" r:id="rId64" name="CheckBox7"/>
      </mc:Fallback>
    </mc:AlternateContent>
    <mc:AlternateContent xmlns:mc="http://schemas.openxmlformats.org/markup-compatibility/2006">
      <mc:Choice Requires="x14">
        <control shapeId="36875" r:id="rId66" name="CheckBox8">
          <controlPr defaultSize="0" autoLine="0" r:id="rId67">
            <anchor moveWithCells="1">
              <from>
                <xdr:col>1</xdr:col>
                <xdr:colOff>95250</xdr:colOff>
                <xdr:row>30</xdr:row>
                <xdr:rowOff>66675</xdr:rowOff>
              </from>
              <to>
                <xdr:col>1</xdr:col>
                <xdr:colOff>276225</xdr:colOff>
                <xdr:row>30</xdr:row>
                <xdr:rowOff>238125</xdr:rowOff>
              </to>
            </anchor>
          </controlPr>
        </control>
      </mc:Choice>
      <mc:Fallback>
        <control shapeId="36875" r:id="rId66" name="CheckBox8"/>
      </mc:Fallback>
    </mc:AlternateContent>
    <mc:AlternateContent xmlns:mc="http://schemas.openxmlformats.org/markup-compatibility/2006">
      <mc:Choice Requires="x14">
        <control shapeId="36876" r:id="rId68" name="CheckBox9">
          <controlPr defaultSize="0" autoLine="0" r:id="rId69">
            <anchor moveWithCells="1">
              <from>
                <xdr:col>1</xdr:col>
                <xdr:colOff>95250</xdr:colOff>
                <xdr:row>31</xdr:row>
                <xdr:rowOff>85725</xdr:rowOff>
              </from>
              <to>
                <xdr:col>1</xdr:col>
                <xdr:colOff>276225</xdr:colOff>
                <xdr:row>31</xdr:row>
                <xdr:rowOff>257175</xdr:rowOff>
              </to>
            </anchor>
          </controlPr>
        </control>
      </mc:Choice>
      <mc:Fallback>
        <control shapeId="36876" r:id="rId68" name="CheckBox9"/>
      </mc:Fallback>
    </mc:AlternateContent>
    <mc:AlternateContent xmlns:mc="http://schemas.openxmlformats.org/markup-compatibility/2006">
      <mc:Choice Requires="x14">
        <control shapeId="36877" r:id="rId70" name="CheckBox10">
          <controlPr defaultSize="0" autoLine="0" r:id="rId71">
            <anchor moveWithCells="1">
              <from>
                <xdr:col>1</xdr:col>
                <xdr:colOff>95250</xdr:colOff>
                <xdr:row>32</xdr:row>
                <xdr:rowOff>85725</xdr:rowOff>
              </from>
              <to>
                <xdr:col>1</xdr:col>
                <xdr:colOff>276225</xdr:colOff>
                <xdr:row>32</xdr:row>
                <xdr:rowOff>257175</xdr:rowOff>
              </to>
            </anchor>
          </controlPr>
        </control>
      </mc:Choice>
      <mc:Fallback>
        <control shapeId="36877" r:id="rId70" name="CheckBox10"/>
      </mc:Fallback>
    </mc:AlternateContent>
    <mc:AlternateContent xmlns:mc="http://schemas.openxmlformats.org/markup-compatibility/2006">
      <mc:Choice Requires="x14">
        <control shapeId="36879" r:id="rId72" name="CheckBox12">
          <controlPr defaultSize="0" autoLine="0" r:id="rId73">
            <anchor moveWithCells="1">
              <from>
                <xdr:col>1</xdr:col>
                <xdr:colOff>85725</xdr:colOff>
                <xdr:row>33</xdr:row>
                <xdr:rowOff>76200</xdr:rowOff>
              </from>
              <to>
                <xdr:col>1</xdr:col>
                <xdr:colOff>285750</xdr:colOff>
                <xdr:row>33</xdr:row>
                <xdr:rowOff>247650</xdr:rowOff>
              </to>
            </anchor>
          </controlPr>
        </control>
      </mc:Choice>
      <mc:Fallback>
        <control shapeId="36879" r:id="rId72" name="CheckBox12"/>
      </mc:Fallback>
    </mc:AlternateContent>
    <mc:AlternateContent xmlns:mc="http://schemas.openxmlformats.org/markup-compatibility/2006">
      <mc:Choice Requires="x14">
        <control shapeId="36880" r:id="rId74" name="CheckBox13">
          <controlPr defaultSize="0" autoLine="0" r:id="rId75">
            <anchor moveWithCells="1">
              <from>
                <xdr:col>1</xdr:col>
                <xdr:colOff>85725</xdr:colOff>
                <xdr:row>35</xdr:row>
                <xdr:rowOff>66675</xdr:rowOff>
              </from>
              <to>
                <xdr:col>1</xdr:col>
                <xdr:colOff>285750</xdr:colOff>
                <xdr:row>35</xdr:row>
                <xdr:rowOff>238125</xdr:rowOff>
              </to>
            </anchor>
          </controlPr>
        </control>
      </mc:Choice>
      <mc:Fallback>
        <control shapeId="36880" r:id="rId74" name="CheckBox13"/>
      </mc:Fallback>
    </mc:AlternateContent>
    <mc:AlternateContent xmlns:mc="http://schemas.openxmlformats.org/markup-compatibility/2006">
      <mc:Choice Requires="x14">
        <control shapeId="36881" r:id="rId76" name="CheckBox14">
          <controlPr defaultSize="0" autoLine="0" r:id="rId77">
            <anchor moveWithCells="1">
              <from>
                <xdr:col>1</xdr:col>
                <xdr:colOff>85725</xdr:colOff>
                <xdr:row>36</xdr:row>
                <xdr:rowOff>66675</xdr:rowOff>
              </from>
              <to>
                <xdr:col>1</xdr:col>
                <xdr:colOff>285750</xdr:colOff>
                <xdr:row>36</xdr:row>
                <xdr:rowOff>238125</xdr:rowOff>
              </to>
            </anchor>
          </controlPr>
        </control>
      </mc:Choice>
      <mc:Fallback>
        <control shapeId="36881" r:id="rId76" name="CheckBox14"/>
      </mc:Fallback>
    </mc:AlternateContent>
    <mc:AlternateContent xmlns:mc="http://schemas.openxmlformats.org/markup-compatibility/2006">
      <mc:Choice Requires="x14">
        <control shapeId="36882" r:id="rId78" name="CheckBox15">
          <controlPr defaultSize="0" autoLine="0" r:id="rId79">
            <anchor moveWithCells="1">
              <from>
                <xdr:col>1</xdr:col>
                <xdr:colOff>85725</xdr:colOff>
                <xdr:row>37</xdr:row>
                <xdr:rowOff>76200</xdr:rowOff>
              </from>
              <to>
                <xdr:col>1</xdr:col>
                <xdr:colOff>285750</xdr:colOff>
                <xdr:row>37</xdr:row>
                <xdr:rowOff>247650</xdr:rowOff>
              </to>
            </anchor>
          </controlPr>
        </control>
      </mc:Choice>
      <mc:Fallback>
        <control shapeId="36882" r:id="rId78" name="CheckBox15"/>
      </mc:Fallback>
    </mc:AlternateContent>
    <mc:AlternateContent xmlns:mc="http://schemas.openxmlformats.org/markup-compatibility/2006">
      <mc:Choice Requires="x14">
        <control shapeId="36883" r:id="rId80" name="CheckBox16">
          <controlPr defaultSize="0" autoLine="0" r:id="rId81">
            <anchor moveWithCells="1">
              <from>
                <xdr:col>1</xdr:col>
                <xdr:colOff>95250</xdr:colOff>
                <xdr:row>38</xdr:row>
                <xdr:rowOff>66675</xdr:rowOff>
              </from>
              <to>
                <xdr:col>1</xdr:col>
                <xdr:colOff>276225</xdr:colOff>
                <xdr:row>38</xdr:row>
                <xdr:rowOff>238125</xdr:rowOff>
              </to>
            </anchor>
          </controlPr>
        </control>
      </mc:Choice>
      <mc:Fallback>
        <control shapeId="36883" r:id="rId80" name="CheckBox16"/>
      </mc:Fallback>
    </mc:AlternateContent>
    <mc:AlternateContent xmlns:mc="http://schemas.openxmlformats.org/markup-compatibility/2006">
      <mc:Choice Requires="x14">
        <control shapeId="36884" r:id="rId82" name="CheckBox17">
          <controlPr defaultSize="0" autoLine="0" r:id="rId83">
            <anchor moveWithCells="1">
              <from>
                <xdr:col>1</xdr:col>
                <xdr:colOff>95250</xdr:colOff>
                <xdr:row>39</xdr:row>
                <xdr:rowOff>66675</xdr:rowOff>
              </from>
              <to>
                <xdr:col>1</xdr:col>
                <xdr:colOff>276225</xdr:colOff>
                <xdr:row>39</xdr:row>
                <xdr:rowOff>238125</xdr:rowOff>
              </to>
            </anchor>
          </controlPr>
        </control>
      </mc:Choice>
      <mc:Fallback>
        <control shapeId="36884" r:id="rId82" name="CheckBox17"/>
      </mc:Fallback>
    </mc:AlternateContent>
    <mc:AlternateContent xmlns:mc="http://schemas.openxmlformats.org/markup-compatibility/2006">
      <mc:Choice Requires="x14">
        <control shapeId="36885" r:id="rId84" name="CheckBox18">
          <controlPr defaultSize="0" autoLine="0" r:id="rId85">
            <anchor moveWithCells="1">
              <from>
                <xdr:col>1</xdr:col>
                <xdr:colOff>95250</xdr:colOff>
                <xdr:row>41</xdr:row>
                <xdr:rowOff>76200</xdr:rowOff>
              </from>
              <to>
                <xdr:col>1</xdr:col>
                <xdr:colOff>276225</xdr:colOff>
                <xdr:row>41</xdr:row>
                <xdr:rowOff>247650</xdr:rowOff>
              </to>
            </anchor>
          </controlPr>
        </control>
      </mc:Choice>
      <mc:Fallback>
        <control shapeId="36885" r:id="rId84" name="CheckBox18"/>
      </mc:Fallback>
    </mc:AlternateContent>
    <mc:AlternateContent xmlns:mc="http://schemas.openxmlformats.org/markup-compatibility/2006">
      <mc:Choice Requires="x14">
        <control shapeId="36899" r:id="rId86" name="CheckBox41">
          <controlPr defaultSize="0" autoLine="0" r:id="rId87">
            <anchor moveWithCells="1">
              <from>
                <xdr:col>5</xdr:col>
                <xdr:colOff>57150</xdr:colOff>
                <xdr:row>73</xdr:row>
                <xdr:rowOff>38100</xdr:rowOff>
              </from>
              <to>
                <xdr:col>5</xdr:col>
                <xdr:colOff>247650</xdr:colOff>
                <xdr:row>74</xdr:row>
                <xdr:rowOff>38100</xdr:rowOff>
              </to>
            </anchor>
          </controlPr>
        </control>
      </mc:Choice>
      <mc:Fallback>
        <control shapeId="36899" r:id="rId86" name="CheckBox41"/>
      </mc:Fallback>
    </mc:AlternateContent>
    <mc:AlternateContent xmlns:mc="http://schemas.openxmlformats.org/markup-compatibility/2006">
      <mc:Choice Requires="x14">
        <control shapeId="36908" r:id="rId88" name="CheckBox40">
          <controlPr defaultSize="0" autoLine="0" r:id="rId89">
            <anchor moveWithCells="1">
              <from>
                <xdr:col>1</xdr:col>
                <xdr:colOff>95250</xdr:colOff>
                <xdr:row>63</xdr:row>
                <xdr:rowOff>66675</xdr:rowOff>
              </from>
              <to>
                <xdr:col>1</xdr:col>
                <xdr:colOff>285750</xdr:colOff>
                <xdr:row>63</xdr:row>
                <xdr:rowOff>238125</xdr:rowOff>
              </to>
            </anchor>
          </controlPr>
        </control>
      </mc:Choice>
      <mc:Fallback>
        <control shapeId="36908" r:id="rId88" name="CheckBox40"/>
      </mc:Fallback>
    </mc:AlternateContent>
    <mc:AlternateContent xmlns:mc="http://schemas.openxmlformats.org/markup-compatibility/2006">
      <mc:Choice Requires="x14">
        <control shapeId="36912" r:id="rId90" name="CheckBox43">
          <controlPr defaultSize="0" autoLine="0" r:id="rId91">
            <anchor moveWithCells="1">
              <from>
                <xdr:col>1</xdr:col>
                <xdr:colOff>95250</xdr:colOff>
                <xdr:row>40</xdr:row>
                <xdr:rowOff>57150</xdr:rowOff>
              </from>
              <to>
                <xdr:col>1</xdr:col>
                <xdr:colOff>276225</xdr:colOff>
                <xdr:row>40</xdr:row>
                <xdr:rowOff>228600</xdr:rowOff>
              </to>
            </anchor>
          </controlPr>
        </control>
      </mc:Choice>
      <mc:Fallback>
        <control shapeId="36912" r:id="rId90" name="CheckBox43"/>
      </mc:Fallback>
    </mc:AlternateContent>
    <mc:AlternateContent xmlns:mc="http://schemas.openxmlformats.org/markup-compatibility/2006">
      <mc:Choice Requires="x14">
        <control shapeId="36913" r:id="rId92" name="CheckBox44">
          <controlPr defaultSize="0" autoLine="0" r:id="rId93">
            <anchor moveWithCells="1">
              <from>
                <xdr:col>1</xdr:col>
                <xdr:colOff>95250</xdr:colOff>
                <xdr:row>34</xdr:row>
                <xdr:rowOff>57150</xdr:rowOff>
              </from>
              <to>
                <xdr:col>1</xdr:col>
                <xdr:colOff>276225</xdr:colOff>
                <xdr:row>34</xdr:row>
                <xdr:rowOff>228600</xdr:rowOff>
              </to>
            </anchor>
          </controlPr>
        </control>
      </mc:Choice>
      <mc:Fallback>
        <control shapeId="36913" r:id="rId92" name="CheckBox44"/>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rgb="FF00B0F0"/>
  </sheetPr>
  <dimension ref="A1:AN53"/>
  <sheetViews>
    <sheetView tabSelected="1" zoomScale="90" zoomScaleNormal="90" zoomScaleSheetLayoutView="80" workbookViewId="0">
      <selection activeCell="N39" sqref="N39"/>
    </sheetView>
  </sheetViews>
  <sheetFormatPr defaultRowHeight="13.5"/>
  <cols>
    <col min="1" max="1" width="32.25" customWidth="1"/>
    <col min="2" max="2" width="3.375" customWidth="1"/>
    <col min="3" max="3" width="3.75" customWidth="1"/>
    <col min="4" max="4" width="11.25" customWidth="1"/>
    <col min="5" max="5" width="3.375" customWidth="1"/>
    <col min="6" max="6" width="15" customWidth="1"/>
    <col min="7" max="7" width="3.375" customWidth="1"/>
    <col min="8" max="8" width="4.375" customWidth="1"/>
    <col min="9" max="11" width="3.75" customWidth="1"/>
    <col min="12" max="12" width="3.375" customWidth="1"/>
    <col min="13" max="13" width="3.75" customWidth="1"/>
    <col min="14" max="14" width="13.625" customWidth="1"/>
    <col min="15" max="15" width="11.5" style="7" customWidth="1"/>
    <col min="16" max="19" width="11.5" customWidth="1"/>
    <col min="20" max="20" width="5.125" hidden="1" customWidth="1"/>
    <col min="21" max="21" width="5.25" hidden="1" customWidth="1"/>
    <col min="22" max="22" width="4.875" hidden="1" customWidth="1"/>
    <col min="23" max="25" width="3.875" hidden="1" customWidth="1"/>
    <col min="26" max="26" width="4.375" hidden="1" customWidth="1"/>
    <col min="27" max="34" width="0" hidden="1" customWidth="1"/>
    <col min="35" max="40" width="9" hidden="1" customWidth="1"/>
  </cols>
  <sheetData>
    <row r="1" spans="1:40" ht="13.5" customHeight="1" thickTop="1">
      <c r="A1" s="153" t="s">
        <v>7</v>
      </c>
      <c r="B1" s="154"/>
      <c r="C1" s="154"/>
      <c r="D1" s="155"/>
      <c r="E1" s="4"/>
      <c r="F1" s="159" t="str">
        <f>IF(AND(O4="OK・提出可",O13="OK・提出可",O14="OK・提出可",O15="OK・提出可",O16="OK・提出可",O19="OK・提出可",O20="OK・提出可",O23="OK・提出可",O24="OK・提出可",O25="OK・提出可",O26="OK・提出可",O27="OK・提出可",O28="OK・提出可",O29="OK・提出可",O30="OK・提出可",O31="OK・提出可",O32="OK・提出可",O33="OK・提出可",O34="OK・提出可",O37="OK・提出可",O38="OK・提出可",O48=""),"提出可（送付先：tomonokai@nttd-ms.co.jp ）","提出不可（記入内容を見直してください）")</f>
        <v>提出可（送付先：tomonokai@nttd-ms.co.jp ）</v>
      </c>
      <c r="G1" s="159"/>
      <c r="H1" s="159"/>
      <c r="I1" s="159"/>
      <c r="J1" s="159"/>
      <c r="K1" s="159"/>
      <c r="L1" s="159"/>
      <c r="M1" s="159"/>
      <c r="N1" s="159"/>
    </row>
    <row r="2" spans="1:40" ht="13.5" customHeight="1" thickBot="1">
      <c r="A2" s="156"/>
      <c r="B2" s="157"/>
      <c r="C2" s="157"/>
      <c r="D2" s="158"/>
      <c r="E2" s="4"/>
      <c r="F2" s="159"/>
      <c r="G2" s="159"/>
      <c r="H2" s="159"/>
      <c r="I2" s="159"/>
      <c r="J2" s="159"/>
      <c r="K2" s="159"/>
      <c r="L2" s="159"/>
      <c r="M2" s="159"/>
      <c r="N2" s="159"/>
    </row>
    <row r="3" spans="1:40" ht="13.5" customHeight="1" thickTop="1">
      <c r="A3" s="2"/>
      <c r="B3" s="2"/>
      <c r="C3" s="2"/>
      <c r="D3" s="2"/>
    </row>
    <row r="4" spans="1:40">
      <c r="H4" s="162">
        <v>2017</v>
      </c>
      <c r="I4" s="162"/>
      <c r="J4" t="s">
        <v>8</v>
      </c>
      <c r="K4" s="30">
        <v>3</v>
      </c>
      <c r="L4" t="s">
        <v>9</v>
      </c>
      <c r="M4" s="30">
        <v>3</v>
      </c>
      <c r="N4" t="s">
        <v>10</v>
      </c>
      <c r="O4" s="152" t="str">
        <f>IF(OR(H4="",K4="",M4=""),"NG・必須項目のため必ず選択してください。","OK・提出可")</f>
        <v>OK・提出可</v>
      </c>
      <c r="P4" s="152"/>
      <c r="Q4" s="152"/>
      <c r="R4" s="152"/>
      <c r="S4" s="152"/>
      <c r="T4" s="106"/>
    </row>
    <row r="5" spans="1:40">
      <c r="A5" s="160" t="s">
        <v>163</v>
      </c>
      <c r="B5" s="160"/>
      <c r="C5" s="160"/>
      <c r="D5" s="3" t="s">
        <v>11</v>
      </c>
      <c r="O5" s="161"/>
      <c r="P5" s="161"/>
      <c r="Q5" s="161"/>
      <c r="R5" s="161"/>
      <c r="S5" s="161"/>
      <c r="T5" s="113"/>
    </row>
    <row r="12" spans="1:40" ht="14.25" thickBot="1">
      <c r="A12" s="6" t="s">
        <v>107</v>
      </c>
    </row>
    <row r="13" spans="1:40" ht="15" customHeight="1">
      <c r="A13" s="29" t="s">
        <v>1</v>
      </c>
      <c r="B13" s="149" t="str">
        <f>'基本情報（はじめに記入・選択してください）'!D10</f>
        <v>タケダマイキ</v>
      </c>
      <c r="C13" s="150"/>
      <c r="D13" s="150"/>
      <c r="E13" s="150"/>
      <c r="F13" s="150"/>
      <c r="G13" s="150"/>
      <c r="H13" s="91"/>
      <c r="I13" s="91"/>
      <c r="J13" s="91"/>
      <c r="K13" s="91"/>
      <c r="L13" s="91"/>
      <c r="M13" s="91"/>
      <c r="N13" s="92"/>
      <c r="O13" s="151" t="str">
        <f>IF(B13="","NG・必須項目のため必ず記入してください。","OK・提出可")</f>
        <v>OK・提出可</v>
      </c>
      <c r="P13" s="152"/>
      <c r="Q13" s="152"/>
      <c r="R13" s="152"/>
      <c r="S13" s="152"/>
      <c r="T13" s="106"/>
      <c r="Z13" s="1"/>
      <c r="AJ13" t="s">
        <v>61</v>
      </c>
      <c r="AK13">
        <v>2017</v>
      </c>
      <c r="AL13">
        <v>1</v>
      </c>
      <c r="AM13">
        <v>1</v>
      </c>
      <c r="AN13" s="1" t="s">
        <v>12</v>
      </c>
    </row>
    <row r="14" spans="1:40" ht="30.75" customHeight="1">
      <c r="A14" s="112" t="s">
        <v>0</v>
      </c>
      <c r="B14" s="163" t="str">
        <f>'基本情報（はじめに記入・選択してください）'!D11</f>
        <v>武田真行</v>
      </c>
      <c r="C14" s="164"/>
      <c r="D14" s="164"/>
      <c r="E14" s="164"/>
      <c r="F14" s="164"/>
      <c r="G14" s="164"/>
      <c r="H14" s="86" t="s">
        <v>5</v>
      </c>
      <c r="I14" s="86"/>
      <c r="J14" s="86"/>
      <c r="K14" s="86"/>
      <c r="L14" s="86"/>
      <c r="M14" s="86"/>
      <c r="N14" s="87"/>
      <c r="O14" s="151" t="str">
        <f>IF(B14="","NG・必須項目のため必ず記入してください。","OK・提出可")</f>
        <v>OK・提出可</v>
      </c>
      <c r="P14" s="152"/>
      <c r="Q14" s="152"/>
      <c r="R14" s="152"/>
      <c r="S14" s="152"/>
      <c r="T14" s="106"/>
      <c r="AJ14" t="s">
        <v>63</v>
      </c>
      <c r="AK14">
        <v>2018</v>
      </c>
      <c r="AL14">
        <v>2</v>
      </c>
      <c r="AM14">
        <v>2</v>
      </c>
    </row>
    <row r="15" spans="1:40" ht="30" customHeight="1">
      <c r="A15" s="25" t="s">
        <v>28</v>
      </c>
      <c r="B15" s="165" t="str">
        <f>'基本情報（はじめに記入・選択してください）'!D12</f>
        <v>NTTデータCCS</v>
      </c>
      <c r="C15" s="166"/>
      <c r="D15" s="166"/>
      <c r="E15" s="166"/>
      <c r="F15" s="166"/>
      <c r="G15" s="166"/>
      <c r="H15" s="166"/>
      <c r="I15" s="166"/>
      <c r="J15" s="166"/>
      <c r="K15" s="166"/>
      <c r="L15" s="166"/>
      <c r="M15" s="166"/>
      <c r="N15" s="167"/>
      <c r="O15" s="168" t="str">
        <f>IF(B15="","NG・必須項目のため必ず記入してください。社員の紹介で本サービスを利用する場合は、社員名（所属会社）を記入してください。","OK・提出可")</f>
        <v>OK・提出可</v>
      </c>
      <c r="P15" s="169"/>
      <c r="Q15" s="169"/>
      <c r="R15" s="169"/>
      <c r="S15" s="169"/>
      <c r="T15" s="111"/>
      <c r="AJ15" t="s">
        <v>64</v>
      </c>
      <c r="AK15">
        <v>2019</v>
      </c>
      <c r="AL15">
        <v>3</v>
      </c>
      <c r="AM15">
        <v>3</v>
      </c>
    </row>
    <row r="16" spans="1:40" ht="15.75" customHeight="1">
      <c r="A16" s="170" t="s">
        <v>2</v>
      </c>
      <c r="B16" s="88" t="s">
        <v>6</v>
      </c>
      <c r="C16" s="173" t="str">
        <f>'基本情報（はじめに記入・選択してください）'!D13</f>
        <v>221-0041</v>
      </c>
      <c r="D16" s="173"/>
      <c r="E16" s="173"/>
      <c r="F16" s="173"/>
      <c r="G16" s="89"/>
      <c r="H16" s="89"/>
      <c r="I16" s="89"/>
      <c r="J16" s="89"/>
      <c r="K16" s="89"/>
      <c r="L16" s="89"/>
      <c r="M16" s="89"/>
      <c r="N16" s="90"/>
      <c r="O16" s="151" t="str">
        <f>IF(AND(D16="",B17=""),"NG・必須項目のため必ず記入してください。","OK・提出可")</f>
        <v>OK・提出可</v>
      </c>
      <c r="P16" s="151"/>
      <c r="Q16" s="151"/>
      <c r="R16" s="151"/>
      <c r="S16" s="151"/>
      <c r="T16" s="105"/>
      <c r="AJ16" t="s">
        <v>65</v>
      </c>
      <c r="AK16">
        <v>2020</v>
      </c>
      <c r="AL16">
        <v>4</v>
      </c>
      <c r="AM16">
        <v>4</v>
      </c>
    </row>
    <row r="17" spans="1:39" ht="15.75" customHeight="1">
      <c r="A17" s="171"/>
      <c r="B17" s="174" t="str">
        <f>'基本情報（はじめに記入・選択してください）'!D14</f>
        <v>横浜市神奈川区亀住町８－４</v>
      </c>
      <c r="C17" s="175"/>
      <c r="D17" s="175"/>
      <c r="E17" s="175"/>
      <c r="F17" s="175"/>
      <c r="G17" s="175"/>
      <c r="H17" s="175"/>
      <c r="I17" s="175"/>
      <c r="J17" s="175"/>
      <c r="K17" s="175"/>
      <c r="L17" s="175"/>
      <c r="M17" s="175"/>
      <c r="N17" s="176"/>
      <c r="O17" s="151"/>
      <c r="P17" s="151"/>
      <c r="Q17" s="151"/>
      <c r="R17" s="151"/>
      <c r="S17" s="151"/>
      <c r="T17" s="105"/>
      <c r="AJ17" t="s">
        <v>66</v>
      </c>
      <c r="AK17">
        <v>2021</v>
      </c>
      <c r="AL17">
        <v>5</v>
      </c>
      <c r="AM17">
        <v>5</v>
      </c>
    </row>
    <row r="18" spans="1:39" ht="15.75" customHeight="1">
      <c r="A18" s="172"/>
      <c r="B18" s="177" t="str">
        <f>'基本情報（はじめに記入・選択してください）'!D15</f>
        <v>ラ・フェリーチェ神奈川新町１０１</v>
      </c>
      <c r="C18" s="178"/>
      <c r="D18" s="178"/>
      <c r="E18" s="178"/>
      <c r="F18" s="178"/>
      <c r="G18" s="178"/>
      <c r="H18" s="178"/>
      <c r="I18" s="178"/>
      <c r="J18" s="178"/>
      <c r="K18" s="178"/>
      <c r="L18" s="178"/>
      <c r="M18" s="178"/>
      <c r="N18" s="179"/>
      <c r="O18" s="151"/>
      <c r="P18" s="151"/>
      <c r="Q18" s="151"/>
      <c r="R18" s="151"/>
      <c r="S18" s="151"/>
      <c r="T18" s="105"/>
      <c r="AJ18" t="s">
        <v>67</v>
      </c>
      <c r="AK18">
        <v>2022</v>
      </c>
      <c r="AL18">
        <v>6</v>
      </c>
      <c r="AM18">
        <v>6</v>
      </c>
    </row>
    <row r="19" spans="1:39" ht="15.75" customHeight="1">
      <c r="A19" s="25" t="s">
        <v>53</v>
      </c>
      <c r="B19" s="180" t="str">
        <f>'基本情報（はじめに記入・選択してください）'!D16</f>
        <v>080-6020-7185</v>
      </c>
      <c r="C19" s="181"/>
      <c r="D19" s="181"/>
      <c r="E19" s="181"/>
      <c r="F19" s="181"/>
      <c r="G19" s="181"/>
      <c r="H19" s="181"/>
      <c r="I19" s="181"/>
      <c r="J19" s="181"/>
      <c r="K19" s="181"/>
      <c r="L19" s="181"/>
      <c r="M19" s="181"/>
      <c r="N19" s="182"/>
      <c r="O19" s="151" t="str">
        <f>IF(B19="","NG・必須項目のため必ず記入してください。","OK・提出可")</f>
        <v>OK・提出可</v>
      </c>
      <c r="P19" s="152"/>
      <c r="Q19" s="152"/>
      <c r="R19" s="152"/>
      <c r="S19" s="152"/>
      <c r="T19" s="106"/>
      <c r="AJ19" t="s">
        <v>68</v>
      </c>
      <c r="AK19">
        <v>2023</v>
      </c>
      <c r="AL19">
        <v>7</v>
      </c>
      <c r="AM19">
        <v>7</v>
      </c>
    </row>
    <row r="20" spans="1:39" ht="15.75" customHeight="1" thickBot="1">
      <c r="A20" s="26" t="s">
        <v>29</v>
      </c>
      <c r="B20" s="183" t="str">
        <f>'基本情報（はじめに記入・選択してください）'!D17</f>
        <v>mt16elle@gmail.com</v>
      </c>
      <c r="C20" s="184"/>
      <c r="D20" s="184"/>
      <c r="E20" s="184"/>
      <c r="F20" s="184"/>
      <c r="G20" s="184"/>
      <c r="H20" s="184"/>
      <c r="I20" s="184"/>
      <c r="J20" s="184"/>
      <c r="K20" s="184"/>
      <c r="L20" s="184"/>
      <c r="M20" s="184"/>
      <c r="N20" s="185"/>
      <c r="O20" s="151" t="str">
        <f>IF(B20="","NG・必須項目のため必ず記入してください。","OK・提出可")</f>
        <v>OK・提出可</v>
      </c>
      <c r="P20" s="152"/>
      <c r="Q20" s="152"/>
      <c r="R20" s="152"/>
      <c r="S20" s="152"/>
      <c r="T20" s="106"/>
      <c r="AJ20" t="s">
        <v>69</v>
      </c>
      <c r="AK20">
        <v>2024</v>
      </c>
      <c r="AL20">
        <v>8</v>
      </c>
      <c r="AM20">
        <v>8</v>
      </c>
    </row>
    <row r="21" spans="1:39" ht="9" customHeight="1">
      <c r="A21" s="5"/>
      <c r="B21" s="5"/>
      <c r="C21" s="5"/>
      <c r="D21" s="5"/>
      <c r="E21" s="5"/>
      <c r="F21" s="5"/>
      <c r="G21" s="5"/>
      <c r="H21" s="5"/>
      <c r="I21" s="5"/>
      <c r="J21" s="5"/>
      <c r="K21" s="5"/>
      <c r="L21" s="5"/>
      <c r="M21" s="5"/>
      <c r="N21" s="5"/>
      <c r="O21" s="6"/>
      <c r="P21" s="38"/>
      <c r="Q21" s="38"/>
      <c r="R21" s="38"/>
      <c r="S21" s="38"/>
      <c r="T21" s="38"/>
      <c r="AJ21" t="s">
        <v>70</v>
      </c>
      <c r="AK21">
        <v>2025</v>
      </c>
      <c r="AL21">
        <v>9</v>
      </c>
      <c r="AM21">
        <v>9</v>
      </c>
    </row>
    <row r="22" spans="1:39" ht="14.25" thickBot="1">
      <c r="A22" s="186" t="s">
        <v>47</v>
      </c>
      <c r="B22" s="186"/>
      <c r="C22" s="186"/>
      <c r="D22" s="186"/>
      <c r="E22" s="186"/>
      <c r="F22" s="186"/>
      <c r="O22" s="152"/>
      <c r="P22" s="152"/>
      <c r="Q22" s="152"/>
      <c r="R22" s="152"/>
      <c r="S22" s="152"/>
      <c r="T22" s="106"/>
      <c r="AJ22" t="s">
        <v>71</v>
      </c>
      <c r="AK22">
        <v>2026</v>
      </c>
      <c r="AL22">
        <v>10</v>
      </c>
      <c r="AM22">
        <v>10</v>
      </c>
    </row>
    <row r="23" spans="1:39" ht="15.75" customHeight="1">
      <c r="A23" s="247"/>
      <c r="B23" s="187">
        <v>1</v>
      </c>
      <c r="C23" s="188"/>
      <c r="D23" s="189" t="s">
        <v>31</v>
      </c>
      <c r="E23" s="191" t="s">
        <v>35</v>
      </c>
      <c r="F23" s="192"/>
      <c r="G23" s="192"/>
      <c r="H23" s="192"/>
      <c r="I23" s="192"/>
      <c r="J23" s="192"/>
      <c r="K23" s="192"/>
      <c r="L23" s="192"/>
      <c r="M23" s="192"/>
      <c r="N23" s="193"/>
      <c r="O23" s="151" t="str">
        <f>IF(OR(A$23="●",A$24="●",A$25="●",A$26="●",A$27="●",A$28="●",A$30="●",A$31="●",A$32="●",A$33="●",A$34="●"),"OK・提出可","1～11のうち、必ず一つは選択してください")</f>
        <v>OK・提出可</v>
      </c>
      <c r="P23" s="152"/>
      <c r="Q23" s="152"/>
      <c r="R23" s="152"/>
      <c r="S23" s="152"/>
      <c r="T23" s="106"/>
      <c r="AJ23" t="s">
        <v>72</v>
      </c>
      <c r="AK23">
        <v>2027</v>
      </c>
      <c r="AL23">
        <v>11</v>
      </c>
      <c r="AM23">
        <v>11</v>
      </c>
    </row>
    <row r="24" spans="1:39" ht="15.75" customHeight="1">
      <c r="A24" s="248"/>
      <c r="B24" s="194">
        <v>2</v>
      </c>
      <c r="C24" s="195"/>
      <c r="D24" s="190"/>
      <c r="E24" s="196" t="s">
        <v>36</v>
      </c>
      <c r="F24" s="197"/>
      <c r="G24" s="197"/>
      <c r="H24" s="197"/>
      <c r="I24" s="197"/>
      <c r="J24" s="197"/>
      <c r="K24" s="197"/>
      <c r="L24" s="197"/>
      <c r="M24" s="197"/>
      <c r="N24" s="198"/>
      <c r="O24" s="151" t="str">
        <f t="shared" ref="O24:O33" si="0">IF(OR(A$23="●",A$24="●",A$25="●",A$26="●",A$27="●",A$28="●",A$30="●",A$31="●",A$32="●",A$33="●",A$34="●"),"OK・提出可","1～11のうち、必ず一つは選択してください")</f>
        <v>OK・提出可</v>
      </c>
      <c r="P24" s="152"/>
      <c r="Q24" s="152"/>
      <c r="R24" s="152"/>
      <c r="S24" s="152"/>
      <c r="T24" s="106"/>
      <c r="AJ24" t="s">
        <v>91</v>
      </c>
      <c r="AK24">
        <v>2028</v>
      </c>
      <c r="AL24">
        <v>12</v>
      </c>
      <c r="AM24">
        <v>12</v>
      </c>
    </row>
    <row r="25" spans="1:39" ht="15.75" customHeight="1">
      <c r="A25" s="249" t="s">
        <v>62</v>
      </c>
      <c r="B25" s="194">
        <v>3</v>
      </c>
      <c r="C25" s="195"/>
      <c r="D25" s="190"/>
      <c r="E25" s="196" t="s">
        <v>38</v>
      </c>
      <c r="F25" s="197"/>
      <c r="G25" s="197"/>
      <c r="H25" s="197"/>
      <c r="I25" s="197"/>
      <c r="J25" s="197"/>
      <c r="K25" s="197"/>
      <c r="L25" s="197"/>
      <c r="M25" s="197"/>
      <c r="N25" s="198"/>
      <c r="O25" s="151" t="str">
        <f t="shared" si="0"/>
        <v>OK・提出可</v>
      </c>
      <c r="P25" s="152"/>
      <c r="Q25" s="152"/>
      <c r="R25" s="152"/>
      <c r="S25" s="152"/>
      <c r="T25" s="106"/>
      <c r="AJ25" t="s">
        <v>73</v>
      </c>
      <c r="AK25">
        <v>2029</v>
      </c>
      <c r="AM25">
        <v>13</v>
      </c>
    </row>
    <row r="26" spans="1:39" ht="15.75" customHeight="1">
      <c r="A26" s="250"/>
      <c r="B26" s="194">
        <v>4</v>
      </c>
      <c r="C26" s="195"/>
      <c r="D26" s="190"/>
      <c r="E26" s="196" t="s">
        <v>150</v>
      </c>
      <c r="F26" s="197"/>
      <c r="G26" s="197"/>
      <c r="H26" s="197"/>
      <c r="I26" s="197"/>
      <c r="J26" s="197"/>
      <c r="K26" s="197"/>
      <c r="L26" s="197"/>
      <c r="M26" s="197"/>
      <c r="N26" s="198"/>
      <c r="O26" s="151" t="str">
        <f t="shared" si="0"/>
        <v>OK・提出可</v>
      </c>
      <c r="P26" s="152"/>
      <c r="Q26" s="152"/>
      <c r="R26" s="152"/>
      <c r="S26" s="152"/>
      <c r="T26" s="106"/>
      <c r="AJ26" t="s">
        <v>103</v>
      </c>
      <c r="AK26">
        <v>2030</v>
      </c>
      <c r="AM26">
        <v>14</v>
      </c>
    </row>
    <row r="27" spans="1:39" ht="15.75" customHeight="1">
      <c r="A27" s="249"/>
      <c r="B27" s="194">
        <v>5</v>
      </c>
      <c r="C27" s="195"/>
      <c r="D27" s="190"/>
      <c r="E27" s="196" t="s">
        <v>37</v>
      </c>
      <c r="F27" s="197"/>
      <c r="G27" s="197"/>
      <c r="H27" s="197"/>
      <c r="I27" s="197"/>
      <c r="J27" s="197"/>
      <c r="K27" s="197"/>
      <c r="L27" s="197"/>
      <c r="M27" s="197"/>
      <c r="N27" s="198"/>
      <c r="O27" s="151" t="str">
        <f t="shared" si="0"/>
        <v>OK・提出可</v>
      </c>
      <c r="P27" s="152"/>
      <c r="Q27" s="152"/>
      <c r="R27" s="152"/>
      <c r="S27" s="152"/>
      <c r="T27" s="106"/>
      <c r="AJ27" t="s">
        <v>74</v>
      </c>
      <c r="AK27">
        <v>2031</v>
      </c>
      <c r="AM27">
        <v>15</v>
      </c>
    </row>
    <row r="28" spans="1:39" ht="15.75" customHeight="1">
      <c r="A28" s="199"/>
      <c r="B28" s="201">
        <v>6</v>
      </c>
      <c r="C28" s="202"/>
      <c r="D28" s="205" t="s">
        <v>32</v>
      </c>
      <c r="E28" s="207" t="s">
        <v>40</v>
      </c>
      <c r="F28" s="208"/>
      <c r="G28" s="211"/>
      <c r="H28" s="190" t="s">
        <v>39</v>
      </c>
      <c r="I28" s="190"/>
      <c r="J28" s="190"/>
      <c r="K28" s="65"/>
      <c r="L28" s="212" t="s">
        <v>46</v>
      </c>
      <c r="M28" s="212"/>
      <c r="N28" s="213"/>
      <c r="O28" s="151" t="str">
        <f>IF(OR(A28="",OR(G28="●",K28="●",K29="●")),"OK・提出可","NG・注文住宅を選択した場合、土地取得区分を必ず一つは選択してください")</f>
        <v>OK・提出可</v>
      </c>
      <c r="P28" s="152"/>
      <c r="Q28" s="152"/>
      <c r="R28" s="152"/>
      <c r="S28" s="152"/>
      <c r="T28" s="106"/>
      <c r="AJ28" t="s">
        <v>75</v>
      </c>
      <c r="AK28">
        <v>2032</v>
      </c>
      <c r="AM28">
        <v>16</v>
      </c>
    </row>
    <row r="29" spans="1:39" ht="15.75" customHeight="1">
      <c r="A29" s="200"/>
      <c r="B29" s="203"/>
      <c r="C29" s="204"/>
      <c r="D29" s="206"/>
      <c r="E29" s="209"/>
      <c r="F29" s="210"/>
      <c r="G29" s="211"/>
      <c r="H29" s="190"/>
      <c r="I29" s="190"/>
      <c r="J29" s="190"/>
      <c r="K29" s="65"/>
      <c r="L29" s="196" t="s">
        <v>45</v>
      </c>
      <c r="M29" s="197"/>
      <c r="N29" s="198"/>
      <c r="O29" s="151" t="str">
        <f t="shared" si="0"/>
        <v>OK・提出可</v>
      </c>
      <c r="P29" s="152"/>
      <c r="Q29" s="152"/>
      <c r="R29" s="152"/>
      <c r="S29" s="152"/>
      <c r="T29" s="106"/>
      <c r="AJ29" t="s">
        <v>76</v>
      </c>
      <c r="AK29">
        <v>2033</v>
      </c>
      <c r="AM29">
        <v>17</v>
      </c>
    </row>
    <row r="30" spans="1:39" ht="15.75" customHeight="1">
      <c r="A30" s="246"/>
      <c r="B30" s="194">
        <v>7</v>
      </c>
      <c r="C30" s="195"/>
      <c r="D30" s="110" t="s">
        <v>33</v>
      </c>
      <c r="E30" s="196" t="s">
        <v>41</v>
      </c>
      <c r="F30" s="197"/>
      <c r="G30" s="197"/>
      <c r="H30" s="197"/>
      <c r="I30" s="197"/>
      <c r="J30" s="197"/>
      <c r="K30" s="197"/>
      <c r="L30" s="197"/>
      <c r="M30" s="197"/>
      <c r="N30" s="198"/>
      <c r="O30" s="151" t="str">
        <f t="shared" si="0"/>
        <v>OK・提出可</v>
      </c>
      <c r="P30" s="152"/>
      <c r="Q30" s="152"/>
      <c r="R30" s="152"/>
      <c r="S30" s="152"/>
      <c r="T30" s="106"/>
      <c r="AJ30" t="s">
        <v>77</v>
      </c>
      <c r="AK30">
        <v>2034</v>
      </c>
      <c r="AM30">
        <v>18</v>
      </c>
    </row>
    <row r="31" spans="1:39" ht="15.75" customHeight="1">
      <c r="A31" s="250"/>
      <c r="B31" s="194">
        <v>8</v>
      </c>
      <c r="C31" s="195"/>
      <c r="D31" s="205" t="s">
        <v>34</v>
      </c>
      <c r="E31" s="107" t="s">
        <v>42</v>
      </c>
      <c r="F31" s="108"/>
      <c r="G31" s="108"/>
      <c r="H31" s="108"/>
      <c r="I31" s="108"/>
      <c r="J31" s="108"/>
      <c r="K31" s="108"/>
      <c r="L31" s="108"/>
      <c r="M31" s="108"/>
      <c r="N31" s="109"/>
      <c r="O31" s="151" t="str">
        <f t="shared" si="0"/>
        <v>OK・提出可</v>
      </c>
      <c r="P31" s="152"/>
      <c r="Q31" s="152"/>
      <c r="R31" s="152"/>
      <c r="S31" s="152"/>
      <c r="T31" s="106"/>
      <c r="AJ31" t="s">
        <v>78</v>
      </c>
      <c r="AK31">
        <v>2035</v>
      </c>
      <c r="AM31">
        <v>19</v>
      </c>
    </row>
    <row r="32" spans="1:39" ht="15.75" customHeight="1">
      <c r="A32" s="250"/>
      <c r="B32" s="194">
        <v>9</v>
      </c>
      <c r="C32" s="195"/>
      <c r="D32" s="214"/>
      <c r="E32" s="107" t="s">
        <v>4</v>
      </c>
      <c r="F32" s="108"/>
      <c r="G32" s="108"/>
      <c r="H32" s="108"/>
      <c r="I32" s="108"/>
      <c r="J32" s="108"/>
      <c r="K32" s="108"/>
      <c r="L32" s="108"/>
      <c r="M32" s="108"/>
      <c r="N32" s="109"/>
      <c r="O32" s="151" t="str">
        <f t="shared" si="0"/>
        <v>OK・提出可</v>
      </c>
      <c r="P32" s="152"/>
      <c r="Q32" s="152"/>
      <c r="R32" s="152"/>
      <c r="S32" s="152"/>
      <c r="T32" s="106"/>
      <c r="AJ32" t="s">
        <v>79</v>
      </c>
      <c r="AK32">
        <v>2036</v>
      </c>
      <c r="AM32">
        <v>20</v>
      </c>
    </row>
    <row r="33" spans="1:39" ht="15.75" customHeight="1">
      <c r="A33" s="250"/>
      <c r="B33" s="194">
        <v>10</v>
      </c>
      <c r="C33" s="195"/>
      <c r="D33" s="206"/>
      <c r="E33" s="107" t="s">
        <v>37</v>
      </c>
      <c r="F33" s="108"/>
      <c r="G33" s="108"/>
      <c r="H33" s="108"/>
      <c r="I33" s="108"/>
      <c r="J33" s="108"/>
      <c r="K33" s="108"/>
      <c r="L33" s="108"/>
      <c r="M33" s="108"/>
      <c r="N33" s="109"/>
      <c r="O33" s="151" t="str">
        <f t="shared" si="0"/>
        <v>OK・提出可</v>
      </c>
      <c r="P33" s="152"/>
      <c r="Q33" s="152"/>
      <c r="R33" s="152"/>
      <c r="S33" s="152"/>
      <c r="T33" s="106"/>
      <c r="AJ33" t="s">
        <v>80</v>
      </c>
      <c r="AK33">
        <v>2037</v>
      </c>
      <c r="AM33">
        <v>21</v>
      </c>
    </row>
    <row r="34" spans="1:39" ht="15" customHeight="1" thickBot="1">
      <c r="A34" s="251"/>
      <c r="B34" s="215">
        <v>11</v>
      </c>
      <c r="C34" s="216"/>
      <c r="D34" s="97" t="s">
        <v>3</v>
      </c>
      <c r="E34" s="217" t="s">
        <v>55</v>
      </c>
      <c r="F34" s="218"/>
      <c r="G34" s="218"/>
      <c r="H34" s="218"/>
      <c r="I34" s="218"/>
      <c r="J34" s="218"/>
      <c r="K34" s="218"/>
      <c r="L34" s="218"/>
      <c r="M34" s="218"/>
      <c r="N34" s="219"/>
      <c r="O34" s="226" t="str">
        <f>IF(AND(A34="●",A41=""),"NG・「その他」の詳細について、備考欄に必ず記入してください。","OK・提出可")</f>
        <v>OK・提出可</v>
      </c>
      <c r="P34" s="151"/>
      <c r="Q34" s="151"/>
      <c r="R34" s="151"/>
      <c r="S34" s="151"/>
      <c r="T34" s="105"/>
      <c r="AJ34" t="s">
        <v>145</v>
      </c>
      <c r="AK34">
        <v>2038</v>
      </c>
      <c r="AM34">
        <v>22</v>
      </c>
    </row>
    <row r="35" spans="1:39" ht="9" customHeight="1">
      <c r="A35" s="31"/>
      <c r="B35" s="31"/>
      <c r="C35" s="31"/>
      <c r="D35" s="31"/>
      <c r="E35" s="31"/>
      <c r="F35" s="31"/>
      <c r="G35" s="31"/>
      <c r="H35" s="31"/>
      <c r="I35" s="31"/>
      <c r="J35" s="31"/>
      <c r="K35" s="31"/>
      <c r="L35" s="31"/>
      <c r="M35" s="31"/>
      <c r="N35" s="31"/>
      <c r="O35" s="39"/>
      <c r="P35" s="113"/>
      <c r="Q35" s="113"/>
      <c r="R35" s="113"/>
      <c r="S35" s="113"/>
      <c r="T35" s="113"/>
      <c r="AJ35" t="s">
        <v>81</v>
      </c>
      <c r="AK35">
        <v>2039</v>
      </c>
      <c r="AM35">
        <v>23</v>
      </c>
    </row>
    <row r="36" spans="1:39" ht="15" customHeight="1" thickBot="1">
      <c r="A36" s="6" t="s">
        <v>30</v>
      </c>
      <c r="B36" s="31"/>
      <c r="C36" s="31"/>
      <c r="D36" s="31"/>
      <c r="E36" s="31"/>
      <c r="F36" s="31"/>
      <c r="G36" s="31"/>
      <c r="H36" s="31"/>
      <c r="I36" s="31"/>
      <c r="J36" s="31"/>
      <c r="K36" s="31"/>
      <c r="L36" s="31"/>
      <c r="M36" s="31"/>
      <c r="N36" s="31"/>
      <c r="O36" s="39"/>
      <c r="P36" s="113"/>
      <c r="Q36" s="113"/>
      <c r="R36" s="113"/>
      <c r="S36" s="113"/>
      <c r="T36" s="113"/>
      <c r="AJ36" t="s">
        <v>82</v>
      </c>
      <c r="AK36">
        <v>2040</v>
      </c>
      <c r="AM36">
        <v>24</v>
      </c>
    </row>
    <row r="37" spans="1:39" ht="15" customHeight="1">
      <c r="A37" s="27" t="s">
        <v>43</v>
      </c>
      <c r="B37" s="227" t="s">
        <v>164</v>
      </c>
      <c r="C37" s="228"/>
      <c r="D37" s="228"/>
      <c r="E37" s="228"/>
      <c r="F37" s="228"/>
      <c r="G37" s="228"/>
      <c r="H37" s="228"/>
      <c r="I37" s="228"/>
      <c r="J37" s="228"/>
      <c r="K37" s="228"/>
      <c r="L37" s="228"/>
      <c r="M37" s="228"/>
      <c r="N37" s="229"/>
      <c r="O37" s="226" t="str">
        <f>IF(AND(OR(A23="●",A25="●",A31="●"),B37=""),"NG・必須項目のため必ず記入してください。","OK・提出可")</f>
        <v>OK・提出可</v>
      </c>
      <c r="P37" s="151"/>
      <c r="Q37" s="151"/>
      <c r="R37" s="151"/>
      <c r="S37" s="151"/>
      <c r="T37" s="105"/>
      <c r="AJ37" t="s">
        <v>83</v>
      </c>
      <c r="AK37">
        <v>2041</v>
      </c>
      <c r="AM37">
        <v>25</v>
      </c>
    </row>
    <row r="38" spans="1:39" ht="15" customHeight="1" thickBot="1">
      <c r="A38" s="26" t="s">
        <v>44</v>
      </c>
      <c r="B38" s="230" t="s">
        <v>165</v>
      </c>
      <c r="C38" s="231"/>
      <c r="D38" s="231"/>
      <c r="E38" s="231"/>
      <c r="F38" s="231"/>
      <c r="G38" s="231"/>
      <c r="H38" s="231"/>
      <c r="I38" s="231"/>
      <c r="J38" s="231"/>
      <c r="K38" s="231"/>
      <c r="L38" s="231"/>
      <c r="M38" s="231"/>
      <c r="N38" s="232"/>
      <c r="O38" s="226" t="str">
        <f>IF(AND(OR(A23="●",A24="●",A25="●",A26="●",A27="●",A28="●",A30="●",A31="●",A32="●",A33="●"),B38=""),"NG・必須項目のため必ず記入してください。","OK・提出可")</f>
        <v>OK・提出可</v>
      </c>
      <c r="P38" s="151"/>
      <c r="Q38" s="151"/>
      <c r="R38" s="151"/>
      <c r="S38" s="151"/>
      <c r="T38" s="105"/>
      <c r="AJ38" t="s">
        <v>84</v>
      </c>
      <c r="AK38">
        <v>2042</v>
      </c>
      <c r="AM38">
        <v>26</v>
      </c>
    </row>
    <row r="39" spans="1:39" ht="15" customHeight="1">
      <c r="A39" s="31"/>
      <c r="B39" s="31"/>
      <c r="C39" s="31"/>
      <c r="D39" s="31"/>
      <c r="E39" s="31"/>
      <c r="F39" s="31"/>
      <c r="G39" s="31"/>
      <c r="H39" s="31"/>
      <c r="I39" s="31"/>
      <c r="J39" s="31"/>
      <c r="K39" s="31"/>
      <c r="L39" s="31"/>
      <c r="M39" s="31"/>
      <c r="N39" s="31"/>
      <c r="O39" s="39"/>
      <c r="P39" s="113"/>
      <c r="Q39" s="113"/>
      <c r="R39" s="113"/>
      <c r="S39" s="113"/>
      <c r="T39" s="113"/>
      <c r="AJ39" t="s">
        <v>85</v>
      </c>
      <c r="AK39">
        <v>2043</v>
      </c>
      <c r="AM39">
        <v>27</v>
      </c>
    </row>
    <row r="40" spans="1:39" ht="15" customHeight="1" thickBot="1">
      <c r="A40" s="37" t="s">
        <v>48</v>
      </c>
      <c r="B40" s="23"/>
      <c r="C40" s="23"/>
      <c r="D40" s="23"/>
      <c r="E40" s="23"/>
      <c r="F40" s="23"/>
      <c r="G40" s="23"/>
      <c r="H40" s="23"/>
      <c r="I40" s="23"/>
      <c r="J40" s="23"/>
      <c r="K40" s="23"/>
      <c r="L40" s="23"/>
      <c r="M40" s="23"/>
      <c r="N40" s="32"/>
      <c r="O40" s="39"/>
      <c r="P40" s="113"/>
      <c r="Q40" s="113"/>
      <c r="R40" s="113"/>
      <c r="S40" s="113"/>
      <c r="T40" s="113"/>
      <c r="AJ40" t="s">
        <v>86</v>
      </c>
      <c r="AK40">
        <v>2044</v>
      </c>
      <c r="AM40">
        <v>28</v>
      </c>
    </row>
    <row r="41" spans="1:39" ht="15" customHeight="1">
      <c r="A41" s="233"/>
      <c r="B41" s="234"/>
      <c r="C41" s="234"/>
      <c r="D41" s="234"/>
      <c r="E41" s="234"/>
      <c r="F41" s="234"/>
      <c r="G41" s="234"/>
      <c r="H41" s="234"/>
      <c r="I41" s="234"/>
      <c r="J41" s="234"/>
      <c r="K41" s="234"/>
      <c r="L41" s="234"/>
      <c r="M41" s="234"/>
      <c r="N41" s="235"/>
      <c r="O41" s="39"/>
      <c r="P41" s="113"/>
      <c r="Q41" s="113"/>
      <c r="R41" s="113"/>
      <c r="S41" s="113"/>
      <c r="T41" s="113"/>
      <c r="AJ41" t="s">
        <v>87</v>
      </c>
      <c r="AK41">
        <v>2045</v>
      </c>
      <c r="AM41">
        <v>29</v>
      </c>
    </row>
    <row r="42" spans="1:39" ht="15" customHeight="1">
      <c r="A42" s="236"/>
      <c r="B42" s="223"/>
      <c r="C42" s="223"/>
      <c r="D42" s="223"/>
      <c r="E42" s="223"/>
      <c r="F42" s="223"/>
      <c r="G42" s="223"/>
      <c r="H42" s="223"/>
      <c r="I42" s="223"/>
      <c r="J42" s="223"/>
      <c r="K42" s="223"/>
      <c r="L42" s="223"/>
      <c r="M42" s="223"/>
      <c r="N42" s="237"/>
      <c r="O42" s="105"/>
      <c r="P42" s="106"/>
      <c r="Q42" s="106"/>
      <c r="R42" s="106"/>
      <c r="S42" s="106"/>
      <c r="T42" s="106"/>
      <c r="AJ42" t="s">
        <v>88</v>
      </c>
      <c r="AM42">
        <v>30</v>
      </c>
    </row>
    <row r="43" spans="1:39" ht="15" customHeight="1">
      <c r="A43" s="236"/>
      <c r="B43" s="223"/>
      <c r="C43" s="223"/>
      <c r="D43" s="223"/>
      <c r="E43" s="223"/>
      <c r="F43" s="223"/>
      <c r="G43" s="223"/>
      <c r="H43" s="223"/>
      <c r="I43" s="223"/>
      <c r="J43" s="223"/>
      <c r="K43" s="223"/>
      <c r="L43" s="223"/>
      <c r="M43" s="223"/>
      <c r="N43" s="237"/>
      <c r="O43" s="105"/>
      <c r="P43" s="106"/>
      <c r="Q43" s="106"/>
      <c r="R43" s="106"/>
      <c r="S43" s="106"/>
      <c r="T43" s="106"/>
      <c r="AJ43" t="s">
        <v>125</v>
      </c>
      <c r="AM43">
        <v>31</v>
      </c>
    </row>
    <row r="44" spans="1:39" ht="15" customHeight="1" thickBot="1">
      <c r="A44" s="238"/>
      <c r="B44" s="239"/>
      <c r="C44" s="239"/>
      <c r="D44" s="239"/>
      <c r="E44" s="239"/>
      <c r="F44" s="239"/>
      <c r="G44" s="239"/>
      <c r="H44" s="239"/>
      <c r="I44" s="239"/>
      <c r="J44" s="239"/>
      <c r="K44" s="239"/>
      <c r="L44" s="239"/>
      <c r="M44" s="239"/>
      <c r="N44" s="240"/>
      <c r="O44" s="105"/>
      <c r="P44" s="106"/>
      <c r="Q44" s="106"/>
      <c r="R44" s="106"/>
      <c r="S44" s="106"/>
      <c r="T44" s="106"/>
      <c r="AJ44" t="s">
        <v>126</v>
      </c>
    </row>
    <row r="45" spans="1:39" ht="11.25" customHeight="1" thickBot="1">
      <c r="A45" s="5"/>
      <c r="B45" s="5"/>
      <c r="C45" s="5"/>
      <c r="D45" s="5"/>
      <c r="E45" s="5"/>
      <c r="F45" s="5"/>
      <c r="G45" s="5"/>
      <c r="H45" s="5"/>
      <c r="I45" s="5"/>
      <c r="J45" s="5"/>
      <c r="K45" s="5"/>
      <c r="L45" s="5"/>
      <c r="M45" s="5"/>
      <c r="N45" s="5"/>
      <c r="O45" s="6"/>
      <c r="P45" s="38"/>
      <c r="Q45" s="38"/>
      <c r="R45" s="38"/>
      <c r="S45" s="38"/>
      <c r="T45" s="38"/>
      <c r="AJ45" t="s">
        <v>127</v>
      </c>
    </row>
    <row r="46" spans="1:39" ht="62.25" customHeight="1" thickTop="1" thickBot="1">
      <c r="A46" s="220" t="s">
        <v>104</v>
      </c>
      <c r="B46" s="221"/>
      <c r="C46" s="221"/>
      <c r="D46" s="221"/>
      <c r="E46" s="221"/>
      <c r="F46" s="221"/>
      <c r="G46" s="221"/>
      <c r="H46" s="221"/>
      <c r="I46" s="221"/>
      <c r="J46" s="221"/>
      <c r="K46" s="221"/>
      <c r="L46" s="221"/>
      <c r="M46" s="221"/>
      <c r="N46" s="222"/>
      <c r="O46" s="6"/>
      <c r="P46" s="38"/>
      <c r="Q46" s="38"/>
      <c r="R46" s="38"/>
      <c r="S46" s="38"/>
      <c r="T46" s="38"/>
      <c r="AJ46" t="s">
        <v>128</v>
      </c>
    </row>
    <row r="47" spans="1:39" ht="10.5" customHeight="1" thickTop="1">
      <c r="A47" s="5"/>
      <c r="B47" s="5"/>
      <c r="C47" s="5"/>
      <c r="D47" s="5"/>
      <c r="E47" s="5"/>
      <c r="F47" s="5"/>
      <c r="G47" s="5"/>
      <c r="H47" s="5"/>
      <c r="I47" s="5"/>
      <c r="J47" s="5"/>
      <c r="K47" s="5"/>
      <c r="L47" s="5"/>
      <c r="M47" s="5"/>
      <c r="N47" s="5"/>
      <c r="AJ47" t="s">
        <v>129</v>
      </c>
    </row>
    <row r="48" spans="1:39" ht="18.75" customHeight="1">
      <c r="A48" s="5"/>
      <c r="B48" s="5"/>
      <c r="C48" s="5"/>
      <c r="D48" s="5"/>
      <c r="E48" s="5"/>
      <c r="F48" s="24" t="s">
        <v>27</v>
      </c>
      <c r="G48" s="223"/>
      <c r="H48" s="223"/>
      <c r="I48" s="223"/>
      <c r="J48" s="223"/>
      <c r="K48" s="223"/>
      <c r="L48" s="223"/>
      <c r="M48" s="223"/>
      <c r="N48" s="223"/>
      <c r="O48" s="224" t="str">
        <f>IF(G48="","","NG・記入しないでください。")</f>
        <v/>
      </c>
      <c r="P48" s="225"/>
      <c r="Q48" s="225"/>
      <c r="R48" s="225"/>
      <c r="S48" s="225"/>
      <c r="T48" s="104"/>
      <c r="AJ48" t="s">
        <v>130</v>
      </c>
    </row>
    <row r="49" spans="1:36">
      <c r="AJ49" t="s">
        <v>131</v>
      </c>
    </row>
    <row r="50" spans="1:36">
      <c r="A50" s="1"/>
      <c r="AJ50" t="s">
        <v>135</v>
      </c>
    </row>
    <row r="51" spans="1:36">
      <c r="AJ51" t="s">
        <v>133</v>
      </c>
    </row>
    <row r="52" spans="1:36">
      <c r="AJ52" t="s">
        <v>136</v>
      </c>
    </row>
    <row r="53" spans="1:36">
      <c r="AJ53" t="s">
        <v>154</v>
      </c>
    </row>
  </sheetData>
  <sheetProtection password="89CB" sheet="1" objects="1" scenarios="1" selectLockedCells="1"/>
  <mergeCells count="70">
    <mergeCell ref="A41:N44"/>
    <mergeCell ref="A46:N46"/>
    <mergeCell ref="G48:N48"/>
    <mergeCell ref="O48:S48"/>
    <mergeCell ref="B34:C34"/>
    <mergeCell ref="E34:N34"/>
    <mergeCell ref="O34:S34"/>
    <mergeCell ref="B37:N37"/>
    <mergeCell ref="O37:S37"/>
    <mergeCell ref="B38:N38"/>
    <mergeCell ref="O38:S38"/>
    <mergeCell ref="B31:C31"/>
    <mergeCell ref="D31:D33"/>
    <mergeCell ref="O31:S31"/>
    <mergeCell ref="B32:C32"/>
    <mergeCell ref="O32:S32"/>
    <mergeCell ref="B33:C33"/>
    <mergeCell ref="O33:S33"/>
    <mergeCell ref="O28:S28"/>
    <mergeCell ref="L29:N29"/>
    <mergeCell ref="O29:S29"/>
    <mergeCell ref="B30:C30"/>
    <mergeCell ref="E30:N30"/>
    <mergeCell ref="O30:S30"/>
    <mergeCell ref="B27:C27"/>
    <mergeCell ref="E27:N27"/>
    <mergeCell ref="O27:S27"/>
    <mergeCell ref="A28:A29"/>
    <mergeCell ref="B28:C29"/>
    <mergeCell ref="D28:D29"/>
    <mergeCell ref="E28:F29"/>
    <mergeCell ref="G28:G29"/>
    <mergeCell ref="H28:J29"/>
    <mergeCell ref="L28:N28"/>
    <mergeCell ref="O24:S24"/>
    <mergeCell ref="B25:C25"/>
    <mergeCell ref="E25:N25"/>
    <mergeCell ref="O25:S25"/>
    <mergeCell ref="B26:C26"/>
    <mergeCell ref="E26:N26"/>
    <mergeCell ref="O26:S26"/>
    <mergeCell ref="B20:N20"/>
    <mergeCell ref="O20:S20"/>
    <mergeCell ref="A22:F22"/>
    <mergeCell ref="O22:S22"/>
    <mergeCell ref="B23:C23"/>
    <mergeCell ref="D23:D27"/>
    <mergeCell ref="E23:N23"/>
    <mergeCell ref="O23:S23"/>
    <mergeCell ref="B24:C24"/>
    <mergeCell ref="E24:N24"/>
    <mergeCell ref="A16:A18"/>
    <mergeCell ref="C16:F16"/>
    <mergeCell ref="O16:S18"/>
    <mergeCell ref="B17:N17"/>
    <mergeCell ref="B18:N18"/>
    <mergeCell ref="B19:N19"/>
    <mergeCell ref="O19:S19"/>
    <mergeCell ref="B13:G13"/>
    <mergeCell ref="O13:S13"/>
    <mergeCell ref="B14:G14"/>
    <mergeCell ref="O14:S14"/>
    <mergeCell ref="B15:N15"/>
    <mergeCell ref="O15:S15"/>
    <mergeCell ref="A1:D2"/>
    <mergeCell ref="F1:N2"/>
    <mergeCell ref="H4:I4"/>
    <mergeCell ref="O4:S4"/>
    <mergeCell ref="A5:C5"/>
    <mergeCell ref="O5:S5"/>
  </mergeCells>
  <phoneticPr fontId="2"/>
  <conditionalFormatting sqref="F1">
    <cfRule type="containsText" dxfId="3" priority="3" operator="containsText" text="提出不可">
      <formula>NOT(ISERROR(SEARCH("提出不可",F1)))</formula>
    </cfRule>
    <cfRule type="containsText" dxfId="2" priority="4" operator="containsText" text="提出可">
      <formula>NOT(ISERROR(SEARCH("提出可",F1)))</formula>
    </cfRule>
  </conditionalFormatting>
  <conditionalFormatting sqref="O35:T48 O34 O1:T33">
    <cfRule type="containsText" dxfId="1" priority="1" operator="containsText" text="必ず">
      <formula>NOT(ISERROR(SEARCH("必ず",O1)))</formula>
    </cfRule>
    <cfRule type="containsText" dxfId="0" priority="2" operator="containsText" text="OK">
      <formula>NOT(ISERROR(SEARCH("OK",O1)))</formula>
    </cfRule>
  </conditionalFormatting>
  <dataValidations count="5">
    <dataValidation type="list" allowBlank="1" showInputMessage="1" showErrorMessage="1" sqref="H4:I4">
      <formula1>$AK$13:$AK$17</formula1>
    </dataValidation>
    <dataValidation type="list" allowBlank="1" showInputMessage="1" showErrorMessage="1" sqref="A23:A34 G28:G29 K28:K29">
      <formula1>$AN$13:$AN$14</formula1>
    </dataValidation>
    <dataValidation type="list" allowBlank="1" showInputMessage="1" showErrorMessage="1" sqref="A5:C5">
      <formula1>$AJ$13:$AJ$53</formula1>
    </dataValidation>
    <dataValidation type="list" allowBlank="1" showInputMessage="1" showErrorMessage="1" sqref="K4">
      <formula1>$AL$13:$AL$24</formula1>
    </dataValidation>
    <dataValidation type="list" allowBlank="1" showInputMessage="1" showErrorMessage="1" sqref="M4">
      <formula1>AM$13:AM$43</formula1>
    </dataValidation>
  </dataValidations>
  <printOptions horizontalCentered="1"/>
  <pageMargins left="0.11811023622047245" right="0.11811023622047245" top="0.19685039370078741" bottom="0.19685039370078741" header="0.31496062992125984" footer="0.31496062992125984"/>
  <pageSetup paperSize="9" scale="85"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AN53"/>
  <sheetViews>
    <sheetView zoomScale="90" zoomScaleNormal="90" zoomScaleSheetLayoutView="80" workbookViewId="0">
      <selection activeCell="H4" sqref="H4:I4"/>
    </sheetView>
  </sheetViews>
  <sheetFormatPr defaultRowHeight="13.5"/>
  <cols>
    <col min="1" max="1" width="32.25" customWidth="1"/>
    <col min="2" max="2" width="3.375" customWidth="1"/>
    <col min="3" max="3" width="3.75" customWidth="1"/>
    <col min="4" max="4" width="11.25" customWidth="1"/>
    <col min="5" max="5" width="3.375" customWidth="1"/>
    <col min="6" max="6" width="15" customWidth="1"/>
    <col min="7" max="7" width="3.375" customWidth="1"/>
    <col min="8" max="8" width="4.375" customWidth="1"/>
    <col min="9" max="11" width="3.75" customWidth="1"/>
    <col min="12" max="12" width="3.375" customWidth="1"/>
    <col min="13" max="13" width="3.75" customWidth="1"/>
    <col min="14" max="14" width="13.625" customWidth="1"/>
    <col min="15" max="15" width="11.5" style="7" customWidth="1"/>
    <col min="16" max="19" width="11.5" customWidth="1"/>
    <col min="20" max="20" width="5.125" customWidth="1"/>
    <col min="21" max="21" width="5.25" customWidth="1"/>
    <col min="22" max="22" width="4.875" customWidth="1"/>
    <col min="23" max="25" width="3.875" customWidth="1"/>
    <col min="26" max="26" width="4.375" customWidth="1"/>
    <col min="35" max="35" width="9" customWidth="1"/>
    <col min="36" max="40" width="9" hidden="1" customWidth="1"/>
  </cols>
  <sheetData>
    <row r="1" spans="1:40" ht="13.5" customHeight="1" thickTop="1">
      <c r="A1" s="153" t="s">
        <v>7</v>
      </c>
      <c r="B1" s="154"/>
      <c r="C1" s="154"/>
      <c r="D1" s="155"/>
      <c r="E1" s="4"/>
      <c r="F1" s="159" t="str">
        <f>IF(AND(O4="OK・提出可",O13="OK・提出可",O14="OK・提出可",O15="OK・提出可",O16="OK・提出可",O19="OK・提出可",O20="OK・提出可",O23="OK・提出可",O24="OK・提出可",O25="OK・提出可",O26="OK・提出可",O27="OK・提出可",O28="OK・提出可",O29="OK・提出可",O30="OK・提出可",O31="OK・提出可",O32="OK・提出可",O33="OK・提出可",O34="OK・提出可",O37="OK・提出可",O38="OK・提出可",O48=""),"提出可（送付先：tomonokai@nttd-ms.co.jp ）","提出不可（記入内容を見直してください）")</f>
        <v>提出不可（記入内容を見直してください）</v>
      </c>
      <c r="G1" s="159"/>
      <c r="H1" s="159"/>
      <c r="I1" s="159"/>
      <c r="J1" s="159"/>
      <c r="K1" s="159"/>
      <c r="L1" s="159"/>
      <c r="M1" s="159"/>
      <c r="N1" s="159"/>
    </row>
    <row r="2" spans="1:40" ht="13.5" customHeight="1" thickBot="1">
      <c r="A2" s="156"/>
      <c r="B2" s="157"/>
      <c r="C2" s="157"/>
      <c r="D2" s="158"/>
      <c r="E2" s="4"/>
      <c r="F2" s="159"/>
      <c r="G2" s="159"/>
      <c r="H2" s="159"/>
      <c r="I2" s="159"/>
      <c r="J2" s="159"/>
      <c r="K2" s="159"/>
      <c r="L2" s="159"/>
      <c r="M2" s="159"/>
      <c r="N2" s="159"/>
    </row>
    <row r="3" spans="1:40" ht="13.5" customHeight="1" thickTop="1">
      <c r="A3" s="2"/>
      <c r="B3" s="2"/>
      <c r="C3" s="2"/>
      <c r="D3" s="2"/>
    </row>
    <row r="4" spans="1:40">
      <c r="H4" s="162"/>
      <c r="I4" s="162"/>
      <c r="J4" t="s">
        <v>8</v>
      </c>
      <c r="K4" s="30"/>
      <c r="L4" t="s">
        <v>9</v>
      </c>
      <c r="M4" s="30"/>
      <c r="N4" t="s">
        <v>10</v>
      </c>
      <c r="O4" s="152" t="str">
        <f>IF(OR(H4="",K4="",M4=""),"NG・必須項目のため必ず選択してください。","OK・提出可")</f>
        <v>NG・必須項目のため必ず選択してください。</v>
      </c>
      <c r="P4" s="152"/>
      <c r="Q4" s="152"/>
      <c r="R4" s="152"/>
      <c r="S4" s="152"/>
      <c r="T4" s="72"/>
    </row>
    <row r="5" spans="1:40">
      <c r="A5" s="160"/>
      <c r="B5" s="160"/>
      <c r="C5" s="160"/>
      <c r="D5" s="3" t="s">
        <v>11</v>
      </c>
      <c r="O5" s="161"/>
      <c r="P5" s="161"/>
      <c r="Q5" s="161"/>
      <c r="R5" s="161"/>
      <c r="S5" s="161"/>
      <c r="T5" s="74"/>
    </row>
    <row r="12" spans="1:40" ht="14.25" thickBot="1">
      <c r="A12" s="6" t="s">
        <v>107</v>
      </c>
    </row>
    <row r="13" spans="1:40" ht="15" customHeight="1">
      <c r="A13" s="29" t="s">
        <v>1</v>
      </c>
      <c r="B13" s="149" t="str">
        <f>'基本情報（はじめに記入・選択してください）'!D10</f>
        <v>タケダマイキ</v>
      </c>
      <c r="C13" s="150"/>
      <c r="D13" s="150"/>
      <c r="E13" s="150"/>
      <c r="F13" s="150"/>
      <c r="G13" s="150"/>
      <c r="H13" s="91"/>
      <c r="I13" s="91"/>
      <c r="J13" s="91"/>
      <c r="K13" s="91"/>
      <c r="L13" s="91"/>
      <c r="M13" s="91"/>
      <c r="N13" s="92"/>
      <c r="O13" s="151" t="str">
        <f>IF(B13="","NG・必須項目のため必ず記入してください。","OK・提出可")</f>
        <v>OK・提出可</v>
      </c>
      <c r="P13" s="152"/>
      <c r="Q13" s="152"/>
      <c r="R13" s="152"/>
      <c r="S13" s="152"/>
      <c r="T13" s="72"/>
      <c r="Z13" s="1"/>
      <c r="AJ13" t="s">
        <v>61</v>
      </c>
      <c r="AK13">
        <v>2017</v>
      </c>
      <c r="AL13">
        <v>1</v>
      </c>
      <c r="AM13">
        <v>1</v>
      </c>
      <c r="AN13" s="1" t="s">
        <v>12</v>
      </c>
    </row>
    <row r="14" spans="1:40" ht="30.75" customHeight="1">
      <c r="A14" s="42" t="s">
        <v>0</v>
      </c>
      <c r="B14" s="163" t="str">
        <f>'基本情報（はじめに記入・選択してください）'!D11</f>
        <v>武田真行</v>
      </c>
      <c r="C14" s="164"/>
      <c r="D14" s="164"/>
      <c r="E14" s="164"/>
      <c r="F14" s="164"/>
      <c r="G14" s="164"/>
      <c r="H14" s="86" t="s">
        <v>5</v>
      </c>
      <c r="I14" s="86"/>
      <c r="J14" s="86"/>
      <c r="K14" s="86"/>
      <c r="L14" s="86"/>
      <c r="M14" s="86"/>
      <c r="N14" s="87"/>
      <c r="O14" s="151" t="str">
        <f>IF(B14="","NG・必須項目のため必ず記入してください。","OK・提出可")</f>
        <v>OK・提出可</v>
      </c>
      <c r="P14" s="152"/>
      <c r="Q14" s="152"/>
      <c r="R14" s="152"/>
      <c r="S14" s="152"/>
      <c r="T14" s="72"/>
      <c r="AJ14" t="s">
        <v>63</v>
      </c>
      <c r="AK14">
        <v>2018</v>
      </c>
      <c r="AL14">
        <v>2</v>
      </c>
      <c r="AM14">
        <v>2</v>
      </c>
    </row>
    <row r="15" spans="1:40" ht="30" customHeight="1">
      <c r="A15" s="25" t="s">
        <v>28</v>
      </c>
      <c r="B15" s="165" t="str">
        <f>'基本情報（はじめに記入・選択してください）'!D12</f>
        <v>NTTデータCCS</v>
      </c>
      <c r="C15" s="166"/>
      <c r="D15" s="166"/>
      <c r="E15" s="166"/>
      <c r="F15" s="166"/>
      <c r="G15" s="166"/>
      <c r="H15" s="166"/>
      <c r="I15" s="166"/>
      <c r="J15" s="166"/>
      <c r="K15" s="166"/>
      <c r="L15" s="166"/>
      <c r="M15" s="166"/>
      <c r="N15" s="167"/>
      <c r="O15" s="168" t="str">
        <f>IF(B15="","NG・必須項目のため必ず記入してください。社員の紹介で本サービスを利用する場合は、社員名（所属会社）を記入してください。","OK・提出可")</f>
        <v>OK・提出可</v>
      </c>
      <c r="P15" s="169"/>
      <c r="Q15" s="169"/>
      <c r="R15" s="169"/>
      <c r="S15" s="169"/>
      <c r="T15" s="73"/>
      <c r="AJ15" t="s">
        <v>64</v>
      </c>
      <c r="AK15">
        <v>2019</v>
      </c>
      <c r="AL15">
        <v>3</v>
      </c>
      <c r="AM15">
        <v>3</v>
      </c>
    </row>
    <row r="16" spans="1:40" ht="15.75" customHeight="1">
      <c r="A16" s="170" t="s">
        <v>2</v>
      </c>
      <c r="B16" s="88" t="s">
        <v>6</v>
      </c>
      <c r="C16" s="173" t="str">
        <f>'基本情報（はじめに記入・選択してください）'!D13</f>
        <v>221-0041</v>
      </c>
      <c r="D16" s="173"/>
      <c r="E16" s="173"/>
      <c r="F16" s="173"/>
      <c r="G16" s="89"/>
      <c r="H16" s="89"/>
      <c r="I16" s="89"/>
      <c r="J16" s="89"/>
      <c r="K16" s="89"/>
      <c r="L16" s="89"/>
      <c r="M16" s="89"/>
      <c r="N16" s="90"/>
      <c r="O16" s="151" t="str">
        <f>IF(AND(D16="",B17=""),"NG・必須項目のため必ず記入してください。","OK・提出可")</f>
        <v>OK・提出可</v>
      </c>
      <c r="P16" s="151"/>
      <c r="Q16" s="151"/>
      <c r="R16" s="151"/>
      <c r="S16" s="151"/>
      <c r="T16" s="71"/>
      <c r="AJ16" t="s">
        <v>65</v>
      </c>
      <c r="AK16">
        <v>2020</v>
      </c>
      <c r="AL16">
        <v>4</v>
      </c>
      <c r="AM16">
        <v>4</v>
      </c>
    </row>
    <row r="17" spans="1:39" ht="15.75" customHeight="1">
      <c r="A17" s="171"/>
      <c r="B17" s="174" t="str">
        <f>'基本情報（はじめに記入・選択してください）'!D14</f>
        <v>横浜市神奈川区亀住町８－４</v>
      </c>
      <c r="C17" s="175"/>
      <c r="D17" s="175"/>
      <c r="E17" s="175"/>
      <c r="F17" s="175"/>
      <c r="G17" s="175"/>
      <c r="H17" s="175"/>
      <c r="I17" s="175"/>
      <c r="J17" s="175"/>
      <c r="K17" s="175"/>
      <c r="L17" s="175"/>
      <c r="M17" s="175"/>
      <c r="N17" s="176"/>
      <c r="O17" s="151"/>
      <c r="P17" s="151"/>
      <c r="Q17" s="151"/>
      <c r="R17" s="151"/>
      <c r="S17" s="151"/>
      <c r="T17" s="71"/>
      <c r="AJ17" t="s">
        <v>66</v>
      </c>
      <c r="AK17">
        <v>2021</v>
      </c>
      <c r="AL17">
        <v>5</v>
      </c>
      <c r="AM17">
        <v>5</v>
      </c>
    </row>
    <row r="18" spans="1:39" ht="15.75" customHeight="1">
      <c r="A18" s="172"/>
      <c r="B18" s="177" t="str">
        <f>'基本情報（はじめに記入・選択してください）'!D15</f>
        <v>ラ・フェリーチェ神奈川新町１０１</v>
      </c>
      <c r="C18" s="178"/>
      <c r="D18" s="178"/>
      <c r="E18" s="178"/>
      <c r="F18" s="178"/>
      <c r="G18" s="178"/>
      <c r="H18" s="178"/>
      <c r="I18" s="178"/>
      <c r="J18" s="178"/>
      <c r="K18" s="178"/>
      <c r="L18" s="178"/>
      <c r="M18" s="178"/>
      <c r="N18" s="179"/>
      <c r="O18" s="151"/>
      <c r="P18" s="151"/>
      <c r="Q18" s="151"/>
      <c r="R18" s="151"/>
      <c r="S18" s="151"/>
      <c r="T18" s="71"/>
      <c r="AJ18" t="s">
        <v>67</v>
      </c>
      <c r="AK18">
        <v>2022</v>
      </c>
      <c r="AL18">
        <v>6</v>
      </c>
      <c r="AM18">
        <v>6</v>
      </c>
    </row>
    <row r="19" spans="1:39" ht="15.75" customHeight="1">
      <c r="A19" s="25" t="s">
        <v>53</v>
      </c>
      <c r="B19" s="180" t="str">
        <f>'基本情報（はじめに記入・選択してください）'!D16</f>
        <v>080-6020-7185</v>
      </c>
      <c r="C19" s="181"/>
      <c r="D19" s="181"/>
      <c r="E19" s="181"/>
      <c r="F19" s="181"/>
      <c r="G19" s="181"/>
      <c r="H19" s="181"/>
      <c r="I19" s="181"/>
      <c r="J19" s="181"/>
      <c r="K19" s="181"/>
      <c r="L19" s="181"/>
      <c r="M19" s="181"/>
      <c r="N19" s="182"/>
      <c r="O19" s="151" t="str">
        <f>IF(B19="","NG・必須項目のため必ず記入してください。","OK・提出可")</f>
        <v>OK・提出可</v>
      </c>
      <c r="P19" s="152"/>
      <c r="Q19" s="152"/>
      <c r="R19" s="152"/>
      <c r="S19" s="152"/>
      <c r="T19" s="72"/>
      <c r="AJ19" t="s">
        <v>68</v>
      </c>
      <c r="AK19">
        <v>2023</v>
      </c>
      <c r="AL19">
        <v>7</v>
      </c>
      <c r="AM19">
        <v>7</v>
      </c>
    </row>
    <row r="20" spans="1:39" ht="15.75" customHeight="1" thickBot="1">
      <c r="A20" s="26" t="s">
        <v>29</v>
      </c>
      <c r="B20" s="183" t="str">
        <f>'基本情報（はじめに記入・選択してください）'!D17</f>
        <v>mt16elle@gmail.com</v>
      </c>
      <c r="C20" s="184"/>
      <c r="D20" s="184"/>
      <c r="E20" s="184"/>
      <c r="F20" s="184"/>
      <c r="G20" s="184"/>
      <c r="H20" s="184"/>
      <c r="I20" s="184"/>
      <c r="J20" s="184"/>
      <c r="K20" s="184"/>
      <c r="L20" s="184"/>
      <c r="M20" s="184"/>
      <c r="N20" s="185"/>
      <c r="O20" s="151" t="str">
        <f>IF(B20="","NG・必須項目のため必ず記入してください。","OK・提出可")</f>
        <v>OK・提出可</v>
      </c>
      <c r="P20" s="152"/>
      <c r="Q20" s="152"/>
      <c r="R20" s="152"/>
      <c r="S20" s="152"/>
      <c r="T20" s="72"/>
      <c r="AJ20" t="s">
        <v>69</v>
      </c>
      <c r="AK20">
        <v>2024</v>
      </c>
      <c r="AL20">
        <v>8</v>
      </c>
      <c r="AM20">
        <v>8</v>
      </c>
    </row>
    <row r="21" spans="1:39" ht="9" customHeight="1">
      <c r="A21" s="5"/>
      <c r="B21" s="5"/>
      <c r="C21" s="5"/>
      <c r="D21" s="5"/>
      <c r="E21" s="5"/>
      <c r="F21" s="5"/>
      <c r="G21" s="5"/>
      <c r="H21" s="5"/>
      <c r="I21" s="5"/>
      <c r="J21" s="5"/>
      <c r="K21" s="5"/>
      <c r="L21" s="5"/>
      <c r="M21" s="5"/>
      <c r="N21" s="5"/>
      <c r="O21" s="6"/>
      <c r="P21" s="38"/>
      <c r="Q21" s="38"/>
      <c r="R21" s="38"/>
      <c r="S21" s="38"/>
      <c r="T21" s="38"/>
      <c r="AJ21" t="s">
        <v>70</v>
      </c>
      <c r="AK21">
        <v>2025</v>
      </c>
      <c r="AL21">
        <v>9</v>
      </c>
      <c r="AM21">
        <v>9</v>
      </c>
    </row>
    <row r="22" spans="1:39" ht="14.25" thickBot="1">
      <c r="A22" s="186" t="s">
        <v>47</v>
      </c>
      <c r="B22" s="186"/>
      <c r="C22" s="186"/>
      <c r="D22" s="186"/>
      <c r="E22" s="186"/>
      <c r="F22" s="186"/>
      <c r="O22" s="152"/>
      <c r="P22" s="152"/>
      <c r="Q22" s="152"/>
      <c r="R22" s="152"/>
      <c r="S22" s="152"/>
      <c r="T22" s="72"/>
      <c r="AJ22" t="s">
        <v>71</v>
      </c>
      <c r="AK22">
        <v>2026</v>
      </c>
      <c r="AL22">
        <v>10</v>
      </c>
      <c r="AM22">
        <v>10</v>
      </c>
    </row>
    <row r="23" spans="1:39" ht="15.75" customHeight="1">
      <c r="A23" s="33"/>
      <c r="B23" s="187">
        <v>1</v>
      </c>
      <c r="C23" s="188"/>
      <c r="D23" s="189" t="s">
        <v>31</v>
      </c>
      <c r="E23" s="191" t="s">
        <v>35</v>
      </c>
      <c r="F23" s="192"/>
      <c r="G23" s="192"/>
      <c r="H23" s="192"/>
      <c r="I23" s="192"/>
      <c r="J23" s="192"/>
      <c r="K23" s="192"/>
      <c r="L23" s="192"/>
      <c r="M23" s="192"/>
      <c r="N23" s="193"/>
      <c r="O23" s="151" t="str">
        <f>IF(OR(A$23="●",A$24="●",A$25="●",A$26="●",A$27="●",A$28="●",A$30="●",A$31="●",A$32="●",A$33="●",A$34="●"),"OK・提出可","1～11のうち、必ず一つは選択してください")</f>
        <v>1～11のうち、必ず一つは選択してください</v>
      </c>
      <c r="P23" s="152"/>
      <c r="Q23" s="152"/>
      <c r="R23" s="152"/>
      <c r="S23" s="152"/>
      <c r="T23" s="72"/>
      <c r="AJ23" t="s">
        <v>72</v>
      </c>
      <c r="AK23">
        <v>2027</v>
      </c>
      <c r="AL23">
        <v>11</v>
      </c>
      <c r="AM23">
        <v>11</v>
      </c>
    </row>
    <row r="24" spans="1:39" ht="15.75" customHeight="1">
      <c r="A24" s="34"/>
      <c r="B24" s="194">
        <v>2</v>
      </c>
      <c r="C24" s="195"/>
      <c r="D24" s="190"/>
      <c r="E24" s="196" t="s">
        <v>36</v>
      </c>
      <c r="F24" s="197"/>
      <c r="G24" s="197"/>
      <c r="H24" s="197"/>
      <c r="I24" s="197"/>
      <c r="J24" s="197"/>
      <c r="K24" s="197"/>
      <c r="L24" s="197"/>
      <c r="M24" s="197"/>
      <c r="N24" s="198"/>
      <c r="O24" s="151" t="str">
        <f t="shared" ref="O24:O33" si="0">IF(OR(A$23="●",A$24="●",A$25="●",A$26="●",A$27="●",A$28="●",A$30="●",A$31="●",A$32="●",A$33="●",A$34="●"),"OK・提出可","1～11のうち、必ず一つは選択してください")</f>
        <v>1～11のうち、必ず一つは選択してください</v>
      </c>
      <c r="P24" s="152"/>
      <c r="Q24" s="152"/>
      <c r="R24" s="152"/>
      <c r="S24" s="152"/>
      <c r="T24" s="72"/>
      <c r="AJ24" t="s">
        <v>91</v>
      </c>
      <c r="AK24">
        <v>2028</v>
      </c>
      <c r="AL24">
        <v>12</v>
      </c>
      <c r="AM24">
        <v>12</v>
      </c>
    </row>
    <row r="25" spans="1:39" ht="15.75" customHeight="1">
      <c r="A25" s="35"/>
      <c r="B25" s="194">
        <v>3</v>
      </c>
      <c r="C25" s="195"/>
      <c r="D25" s="190"/>
      <c r="E25" s="196" t="s">
        <v>38</v>
      </c>
      <c r="F25" s="197"/>
      <c r="G25" s="197"/>
      <c r="H25" s="197"/>
      <c r="I25" s="197"/>
      <c r="J25" s="197"/>
      <c r="K25" s="197"/>
      <c r="L25" s="197"/>
      <c r="M25" s="197"/>
      <c r="N25" s="198"/>
      <c r="O25" s="151" t="str">
        <f t="shared" si="0"/>
        <v>1～11のうち、必ず一つは選択してください</v>
      </c>
      <c r="P25" s="152"/>
      <c r="Q25" s="152"/>
      <c r="R25" s="152"/>
      <c r="S25" s="152"/>
      <c r="T25" s="72"/>
      <c r="AJ25" t="s">
        <v>73</v>
      </c>
      <c r="AK25">
        <v>2029</v>
      </c>
      <c r="AM25">
        <v>13</v>
      </c>
    </row>
    <row r="26" spans="1:39" ht="15.75" customHeight="1">
      <c r="A26" s="35"/>
      <c r="B26" s="194">
        <v>4</v>
      </c>
      <c r="C26" s="195"/>
      <c r="D26" s="190"/>
      <c r="E26" s="196" t="s">
        <v>150</v>
      </c>
      <c r="F26" s="197"/>
      <c r="G26" s="197"/>
      <c r="H26" s="197"/>
      <c r="I26" s="197"/>
      <c r="J26" s="197"/>
      <c r="K26" s="197"/>
      <c r="L26" s="197"/>
      <c r="M26" s="197"/>
      <c r="N26" s="198"/>
      <c r="O26" s="151" t="str">
        <f t="shared" si="0"/>
        <v>1～11のうち、必ず一つは選択してください</v>
      </c>
      <c r="P26" s="152"/>
      <c r="Q26" s="152"/>
      <c r="R26" s="152"/>
      <c r="S26" s="152"/>
      <c r="T26" s="72"/>
      <c r="AJ26" t="s">
        <v>103</v>
      </c>
      <c r="AK26">
        <v>2030</v>
      </c>
      <c r="AM26">
        <v>14</v>
      </c>
    </row>
    <row r="27" spans="1:39" ht="15.75" customHeight="1">
      <c r="A27" s="35"/>
      <c r="B27" s="194">
        <v>5</v>
      </c>
      <c r="C27" s="195"/>
      <c r="D27" s="190"/>
      <c r="E27" s="196" t="s">
        <v>37</v>
      </c>
      <c r="F27" s="197"/>
      <c r="G27" s="197"/>
      <c r="H27" s="197"/>
      <c r="I27" s="197"/>
      <c r="J27" s="197"/>
      <c r="K27" s="197"/>
      <c r="L27" s="197"/>
      <c r="M27" s="197"/>
      <c r="N27" s="198"/>
      <c r="O27" s="151" t="str">
        <f t="shared" si="0"/>
        <v>1～11のうち、必ず一つは選択してください</v>
      </c>
      <c r="P27" s="152"/>
      <c r="Q27" s="152"/>
      <c r="R27" s="152"/>
      <c r="S27" s="152"/>
      <c r="T27" s="72"/>
      <c r="AJ27" t="s">
        <v>74</v>
      </c>
      <c r="AK27">
        <v>2031</v>
      </c>
      <c r="AM27">
        <v>15</v>
      </c>
    </row>
    <row r="28" spans="1:39" ht="15.75" customHeight="1">
      <c r="A28" s="199"/>
      <c r="B28" s="201">
        <v>6</v>
      </c>
      <c r="C28" s="202"/>
      <c r="D28" s="205" t="s">
        <v>32</v>
      </c>
      <c r="E28" s="207" t="s">
        <v>40</v>
      </c>
      <c r="F28" s="208"/>
      <c r="G28" s="211"/>
      <c r="H28" s="190" t="s">
        <v>39</v>
      </c>
      <c r="I28" s="190"/>
      <c r="J28" s="190"/>
      <c r="K28" s="65"/>
      <c r="L28" s="212" t="s">
        <v>46</v>
      </c>
      <c r="M28" s="212"/>
      <c r="N28" s="213"/>
      <c r="O28" s="151" t="str">
        <f>IF(OR(A28="",OR(G28="●",K28="●",K29="●")),"OK・提出可","NG・注文住宅を選択した場合、土地取得区分を必ず一つは選択してください")</f>
        <v>OK・提出可</v>
      </c>
      <c r="P28" s="152"/>
      <c r="Q28" s="152"/>
      <c r="R28" s="152"/>
      <c r="S28" s="152"/>
      <c r="T28" s="72"/>
      <c r="AJ28" t="s">
        <v>75</v>
      </c>
      <c r="AK28">
        <v>2032</v>
      </c>
      <c r="AM28">
        <v>16</v>
      </c>
    </row>
    <row r="29" spans="1:39" ht="15.75" customHeight="1">
      <c r="A29" s="200"/>
      <c r="B29" s="203"/>
      <c r="C29" s="204"/>
      <c r="D29" s="206"/>
      <c r="E29" s="209"/>
      <c r="F29" s="210"/>
      <c r="G29" s="211"/>
      <c r="H29" s="190"/>
      <c r="I29" s="190"/>
      <c r="J29" s="190"/>
      <c r="K29" s="65"/>
      <c r="L29" s="196" t="s">
        <v>45</v>
      </c>
      <c r="M29" s="197"/>
      <c r="N29" s="198"/>
      <c r="O29" s="151" t="str">
        <f t="shared" si="0"/>
        <v>1～11のうち、必ず一つは選択してください</v>
      </c>
      <c r="P29" s="152"/>
      <c r="Q29" s="152"/>
      <c r="R29" s="152"/>
      <c r="S29" s="152"/>
      <c r="T29" s="72"/>
      <c r="AJ29" t="s">
        <v>76</v>
      </c>
      <c r="AK29">
        <v>2033</v>
      </c>
      <c r="AM29">
        <v>17</v>
      </c>
    </row>
    <row r="30" spans="1:39" ht="15.75" customHeight="1">
      <c r="A30" s="35"/>
      <c r="B30" s="194">
        <v>7</v>
      </c>
      <c r="C30" s="195"/>
      <c r="D30" s="93" t="s">
        <v>33</v>
      </c>
      <c r="E30" s="196" t="s">
        <v>41</v>
      </c>
      <c r="F30" s="197"/>
      <c r="G30" s="197"/>
      <c r="H30" s="197"/>
      <c r="I30" s="197"/>
      <c r="J30" s="197"/>
      <c r="K30" s="197"/>
      <c r="L30" s="197"/>
      <c r="M30" s="197"/>
      <c r="N30" s="198"/>
      <c r="O30" s="151" t="str">
        <f t="shared" si="0"/>
        <v>1～11のうち、必ず一つは選択してください</v>
      </c>
      <c r="P30" s="152"/>
      <c r="Q30" s="152"/>
      <c r="R30" s="152"/>
      <c r="S30" s="152"/>
      <c r="T30" s="72"/>
      <c r="AJ30" t="s">
        <v>77</v>
      </c>
      <c r="AK30">
        <v>2034</v>
      </c>
      <c r="AM30">
        <v>18</v>
      </c>
    </row>
    <row r="31" spans="1:39" ht="15.75" customHeight="1">
      <c r="A31" s="35"/>
      <c r="B31" s="194">
        <v>8</v>
      </c>
      <c r="C31" s="195"/>
      <c r="D31" s="205" t="s">
        <v>34</v>
      </c>
      <c r="E31" s="94" t="s">
        <v>42</v>
      </c>
      <c r="F31" s="95"/>
      <c r="G31" s="95"/>
      <c r="H31" s="95"/>
      <c r="I31" s="95"/>
      <c r="J31" s="95"/>
      <c r="K31" s="95"/>
      <c r="L31" s="95"/>
      <c r="M31" s="95"/>
      <c r="N31" s="96"/>
      <c r="O31" s="151" t="str">
        <f t="shared" si="0"/>
        <v>1～11のうち、必ず一つは選択してください</v>
      </c>
      <c r="P31" s="152"/>
      <c r="Q31" s="152"/>
      <c r="R31" s="152"/>
      <c r="S31" s="152"/>
      <c r="T31" s="72"/>
      <c r="AJ31" t="s">
        <v>78</v>
      </c>
      <c r="AK31">
        <v>2035</v>
      </c>
      <c r="AM31">
        <v>19</v>
      </c>
    </row>
    <row r="32" spans="1:39" ht="15.75" customHeight="1">
      <c r="A32" s="35"/>
      <c r="B32" s="194">
        <v>9</v>
      </c>
      <c r="C32" s="195"/>
      <c r="D32" s="214"/>
      <c r="E32" s="94" t="s">
        <v>4</v>
      </c>
      <c r="F32" s="95"/>
      <c r="G32" s="95"/>
      <c r="H32" s="95"/>
      <c r="I32" s="95"/>
      <c r="J32" s="95"/>
      <c r="K32" s="95"/>
      <c r="L32" s="95"/>
      <c r="M32" s="95"/>
      <c r="N32" s="96"/>
      <c r="O32" s="151" t="str">
        <f t="shared" si="0"/>
        <v>1～11のうち、必ず一つは選択してください</v>
      </c>
      <c r="P32" s="152"/>
      <c r="Q32" s="152"/>
      <c r="R32" s="152"/>
      <c r="S32" s="152"/>
      <c r="T32" s="72"/>
      <c r="AJ32" t="s">
        <v>79</v>
      </c>
      <c r="AK32">
        <v>2036</v>
      </c>
      <c r="AM32">
        <v>20</v>
      </c>
    </row>
    <row r="33" spans="1:39" ht="15.75" customHeight="1">
      <c r="A33" s="35"/>
      <c r="B33" s="194">
        <v>10</v>
      </c>
      <c r="C33" s="195"/>
      <c r="D33" s="206"/>
      <c r="E33" s="94" t="s">
        <v>37</v>
      </c>
      <c r="F33" s="95"/>
      <c r="G33" s="95"/>
      <c r="H33" s="95"/>
      <c r="I33" s="95"/>
      <c r="J33" s="95"/>
      <c r="K33" s="95"/>
      <c r="L33" s="95"/>
      <c r="M33" s="95"/>
      <c r="N33" s="96"/>
      <c r="O33" s="151" t="str">
        <f t="shared" si="0"/>
        <v>1～11のうち、必ず一つは選択してください</v>
      </c>
      <c r="P33" s="152"/>
      <c r="Q33" s="152"/>
      <c r="R33" s="152"/>
      <c r="S33" s="152"/>
      <c r="T33" s="72"/>
      <c r="AJ33" t="s">
        <v>80</v>
      </c>
      <c r="AK33">
        <v>2037</v>
      </c>
      <c r="AM33">
        <v>21</v>
      </c>
    </row>
    <row r="34" spans="1:39" ht="15" customHeight="1" thickBot="1">
      <c r="A34" s="36"/>
      <c r="B34" s="215">
        <v>11</v>
      </c>
      <c r="C34" s="216"/>
      <c r="D34" s="97" t="s">
        <v>3</v>
      </c>
      <c r="E34" s="217" t="s">
        <v>55</v>
      </c>
      <c r="F34" s="218"/>
      <c r="G34" s="218"/>
      <c r="H34" s="218"/>
      <c r="I34" s="218"/>
      <c r="J34" s="218"/>
      <c r="K34" s="218"/>
      <c r="L34" s="218"/>
      <c r="M34" s="218"/>
      <c r="N34" s="219"/>
      <c r="O34" s="226" t="str">
        <f>IF(AND(A34="●",A41=""),"NG・「その他」の詳細について、備考欄に必ず記入してください。","OK・提出可")</f>
        <v>OK・提出可</v>
      </c>
      <c r="P34" s="151"/>
      <c r="Q34" s="151"/>
      <c r="R34" s="151"/>
      <c r="S34" s="151"/>
      <c r="T34" s="71"/>
      <c r="AJ34" t="s">
        <v>145</v>
      </c>
      <c r="AK34">
        <v>2038</v>
      </c>
      <c r="AM34">
        <v>22</v>
      </c>
    </row>
    <row r="35" spans="1:39" ht="9" customHeight="1">
      <c r="A35" s="31"/>
      <c r="B35" s="31"/>
      <c r="C35" s="31"/>
      <c r="D35" s="31"/>
      <c r="E35" s="31"/>
      <c r="F35" s="31"/>
      <c r="G35" s="31"/>
      <c r="H35" s="31"/>
      <c r="I35" s="31"/>
      <c r="J35" s="31"/>
      <c r="K35" s="31"/>
      <c r="L35" s="31"/>
      <c r="M35" s="31"/>
      <c r="N35" s="31"/>
      <c r="O35" s="39"/>
      <c r="P35" s="43"/>
      <c r="Q35" s="43"/>
      <c r="R35" s="43"/>
      <c r="S35" s="43"/>
      <c r="T35" s="74"/>
      <c r="AJ35" t="s">
        <v>81</v>
      </c>
      <c r="AK35">
        <v>2039</v>
      </c>
      <c r="AM35">
        <v>23</v>
      </c>
    </row>
    <row r="36" spans="1:39" ht="15" customHeight="1" thickBot="1">
      <c r="A36" s="6" t="s">
        <v>30</v>
      </c>
      <c r="B36" s="31"/>
      <c r="C36" s="31"/>
      <c r="D36" s="31"/>
      <c r="E36" s="31"/>
      <c r="F36" s="31"/>
      <c r="G36" s="31"/>
      <c r="H36" s="31"/>
      <c r="I36" s="31"/>
      <c r="J36" s="31"/>
      <c r="K36" s="31"/>
      <c r="L36" s="31"/>
      <c r="M36" s="31"/>
      <c r="N36" s="31"/>
      <c r="O36" s="39"/>
      <c r="P36" s="43"/>
      <c r="Q36" s="43"/>
      <c r="R36" s="43"/>
      <c r="S36" s="43"/>
      <c r="T36" s="74"/>
      <c r="AJ36" t="s">
        <v>82</v>
      </c>
      <c r="AK36">
        <v>2040</v>
      </c>
      <c r="AM36">
        <v>24</v>
      </c>
    </row>
    <row r="37" spans="1:39" ht="15" customHeight="1">
      <c r="A37" s="27" t="s">
        <v>43</v>
      </c>
      <c r="B37" s="227"/>
      <c r="C37" s="228"/>
      <c r="D37" s="228"/>
      <c r="E37" s="228"/>
      <c r="F37" s="228"/>
      <c r="G37" s="228"/>
      <c r="H37" s="228"/>
      <c r="I37" s="228"/>
      <c r="J37" s="228"/>
      <c r="K37" s="228"/>
      <c r="L37" s="228"/>
      <c r="M37" s="228"/>
      <c r="N37" s="229"/>
      <c r="O37" s="226" t="str">
        <f>IF(AND(OR(A23="●",A25="●",A31="●"),B37=""),"NG・必須項目のため必ず記入してください。","OK・提出可")</f>
        <v>OK・提出可</v>
      </c>
      <c r="P37" s="151"/>
      <c r="Q37" s="151"/>
      <c r="R37" s="151"/>
      <c r="S37" s="151"/>
      <c r="T37" s="71"/>
      <c r="AJ37" t="s">
        <v>83</v>
      </c>
      <c r="AK37">
        <v>2041</v>
      </c>
      <c r="AM37">
        <v>25</v>
      </c>
    </row>
    <row r="38" spans="1:39" ht="15" customHeight="1" thickBot="1">
      <c r="A38" s="26" t="s">
        <v>44</v>
      </c>
      <c r="B38" s="230"/>
      <c r="C38" s="231"/>
      <c r="D38" s="231"/>
      <c r="E38" s="231"/>
      <c r="F38" s="231"/>
      <c r="G38" s="231"/>
      <c r="H38" s="231"/>
      <c r="I38" s="231"/>
      <c r="J38" s="231"/>
      <c r="K38" s="231"/>
      <c r="L38" s="231"/>
      <c r="M38" s="231"/>
      <c r="N38" s="232"/>
      <c r="O38" s="226" t="str">
        <f>IF(AND(OR(A23="●",A24="●",A25="●",A26="●",A27="●",A28="●",A30="●",A31="●",A32="●",A33="●"),B38=""),"NG・必須項目のため必ず記入してください。","OK・提出可")</f>
        <v>OK・提出可</v>
      </c>
      <c r="P38" s="151"/>
      <c r="Q38" s="151"/>
      <c r="R38" s="151"/>
      <c r="S38" s="151"/>
      <c r="T38" s="71"/>
      <c r="AJ38" t="s">
        <v>84</v>
      </c>
      <c r="AK38">
        <v>2042</v>
      </c>
      <c r="AM38">
        <v>26</v>
      </c>
    </row>
    <row r="39" spans="1:39" ht="15" customHeight="1">
      <c r="A39" s="31"/>
      <c r="B39" s="31"/>
      <c r="C39" s="31"/>
      <c r="D39" s="31"/>
      <c r="E39" s="31"/>
      <c r="F39" s="31"/>
      <c r="G39" s="31"/>
      <c r="H39" s="31"/>
      <c r="I39" s="31"/>
      <c r="J39" s="31"/>
      <c r="K39" s="31"/>
      <c r="L39" s="31"/>
      <c r="M39" s="31"/>
      <c r="N39" s="31"/>
      <c r="O39" s="39"/>
      <c r="P39" s="43"/>
      <c r="Q39" s="43"/>
      <c r="R39" s="43"/>
      <c r="S39" s="43"/>
      <c r="T39" s="74"/>
      <c r="AJ39" t="s">
        <v>85</v>
      </c>
      <c r="AK39">
        <v>2043</v>
      </c>
      <c r="AM39">
        <v>27</v>
      </c>
    </row>
    <row r="40" spans="1:39" ht="15" customHeight="1" thickBot="1">
      <c r="A40" s="37" t="s">
        <v>48</v>
      </c>
      <c r="B40" s="23"/>
      <c r="C40" s="23"/>
      <c r="D40" s="23"/>
      <c r="E40" s="23"/>
      <c r="F40" s="23"/>
      <c r="G40" s="23"/>
      <c r="H40" s="23"/>
      <c r="I40" s="23"/>
      <c r="J40" s="23"/>
      <c r="K40" s="23"/>
      <c r="L40" s="23"/>
      <c r="M40" s="23"/>
      <c r="N40" s="32"/>
      <c r="O40" s="39"/>
      <c r="P40" s="43"/>
      <c r="Q40" s="43"/>
      <c r="R40" s="43"/>
      <c r="S40" s="43"/>
      <c r="T40" s="74"/>
      <c r="AJ40" t="s">
        <v>86</v>
      </c>
      <c r="AK40">
        <v>2044</v>
      </c>
      <c r="AM40">
        <v>28</v>
      </c>
    </row>
    <row r="41" spans="1:39" ht="15" customHeight="1">
      <c r="A41" s="233"/>
      <c r="B41" s="234"/>
      <c r="C41" s="234"/>
      <c r="D41" s="234"/>
      <c r="E41" s="234"/>
      <c r="F41" s="234"/>
      <c r="G41" s="234"/>
      <c r="H41" s="234"/>
      <c r="I41" s="234"/>
      <c r="J41" s="234"/>
      <c r="K41" s="234"/>
      <c r="L41" s="234"/>
      <c r="M41" s="234"/>
      <c r="N41" s="235"/>
      <c r="O41" s="39"/>
      <c r="P41" s="43"/>
      <c r="Q41" s="43"/>
      <c r="R41" s="43"/>
      <c r="S41" s="43"/>
      <c r="T41" s="74"/>
      <c r="AJ41" t="s">
        <v>87</v>
      </c>
      <c r="AK41">
        <v>2045</v>
      </c>
      <c r="AM41">
        <v>29</v>
      </c>
    </row>
    <row r="42" spans="1:39" ht="15" customHeight="1">
      <c r="A42" s="236"/>
      <c r="B42" s="223"/>
      <c r="C42" s="223"/>
      <c r="D42" s="223"/>
      <c r="E42" s="223"/>
      <c r="F42" s="223"/>
      <c r="G42" s="223"/>
      <c r="H42" s="223"/>
      <c r="I42" s="223"/>
      <c r="J42" s="223"/>
      <c r="K42" s="223"/>
      <c r="L42" s="223"/>
      <c r="M42" s="223"/>
      <c r="N42" s="237"/>
      <c r="O42" s="40"/>
      <c r="P42" s="41"/>
      <c r="Q42" s="41"/>
      <c r="R42" s="41"/>
      <c r="S42" s="41"/>
      <c r="T42" s="72"/>
      <c r="AJ42" t="s">
        <v>88</v>
      </c>
      <c r="AM42">
        <v>30</v>
      </c>
    </row>
    <row r="43" spans="1:39" ht="15" customHeight="1">
      <c r="A43" s="236"/>
      <c r="B43" s="223"/>
      <c r="C43" s="223"/>
      <c r="D43" s="223"/>
      <c r="E43" s="223"/>
      <c r="F43" s="223"/>
      <c r="G43" s="223"/>
      <c r="H43" s="223"/>
      <c r="I43" s="223"/>
      <c r="J43" s="223"/>
      <c r="K43" s="223"/>
      <c r="L43" s="223"/>
      <c r="M43" s="223"/>
      <c r="N43" s="237"/>
      <c r="O43" s="40"/>
      <c r="P43" s="41"/>
      <c r="Q43" s="41"/>
      <c r="R43" s="41"/>
      <c r="S43" s="41"/>
      <c r="T43" s="72"/>
      <c r="AJ43" t="s">
        <v>125</v>
      </c>
      <c r="AM43">
        <v>31</v>
      </c>
    </row>
    <row r="44" spans="1:39" ht="15" customHeight="1" thickBot="1">
      <c r="A44" s="238"/>
      <c r="B44" s="239"/>
      <c r="C44" s="239"/>
      <c r="D44" s="239"/>
      <c r="E44" s="239"/>
      <c r="F44" s="239"/>
      <c r="G44" s="239"/>
      <c r="H44" s="239"/>
      <c r="I44" s="239"/>
      <c r="J44" s="239"/>
      <c r="K44" s="239"/>
      <c r="L44" s="239"/>
      <c r="M44" s="239"/>
      <c r="N44" s="240"/>
      <c r="O44" s="40"/>
      <c r="P44" s="41"/>
      <c r="Q44" s="41"/>
      <c r="R44" s="41"/>
      <c r="S44" s="41"/>
      <c r="T44" s="72"/>
      <c r="AJ44" t="s">
        <v>126</v>
      </c>
    </row>
    <row r="45" spans="1:39" ht="11.25" customHeight="1" thickBot="1">
      <c r="A45" s="5"/>
      <c r="B45" s="5"/>
      <c r="C45" s="5"/>
      <c r="D45" s="5"/>
      <c r="E45" s="5"/>
      <c r="F45" s="5"/>
      <c r="G45" s="5"/>
      <c r="H45" s="5"/>
      <c r="I45" s="5"/>
      <c r="J45" s="5"/>
      <c r="K45" s="5"/>
      <c r="L45" s="5"/>
      <c r="M45" s="5"/>
      <c r="N45" s="5"/>
      <c r="O45" s="6"/>
      <c r="P45" s="38"/>
      <c r="Q45" s="38"/>
      <c r="R45" s="38"/>
      <c r="S45" s="38"/>
      <c r="T45" s="38"/>
      <c r="AJ45" t="s">
        <v>127</v>
      </c>
    </row>
    <row r="46" spans="1:39" ht="62.25" customHeight="1" thickTop="1" thickBot="1">
      <c r="A46" s="220" t="s">
        <v>104</v>
      </c>
      <c r="B46" s="221"/>
      <c r="C46" s="221"/>
      <c r="D46" s="221"/>
      <c r="E46" s="221"/>
      <c r="F46" s="221"/>
      <c r="G46" s="221"/>
      <c r="H46" s="221"/>
      <c r="I46" s="221"/>
      <c r="J46" s="221"/>
      <c r="K46" s="221"/>
      <c r="L46" s="221"/>
      <c r="M46" s="221"/>
      <c r="N46" s="222"/>
      <c r="O46" s="6"/>
      <c r="P46" s="38"/>
      <c r="Q46" s="38"/>
      <c r="R46" s="38"/>
      <c r="S46" s="38"/>
      <c r="T46" s="38"/>
      <c r="AJ46" t="s">
        <v>128</v>
      </c>
    </row>
    <row r="47" spans="1:39" ht="10.5" customHeight="1" thickTop="1">
      <c r="A47" s="5"/>
      <c r="B47" s="5"/>
      <c r="C47" s="5"/>
      <c r="D47" s="5"/>
      <c r="E47" s="5"/>
      <c r="F47" s="5"/>
      <c r="G47" s="5"/>
      <c r="H47" s="5"/>
      <c r="I47" s="5"/>
      <c r="J47" s="5"/>
      <c r="K47" s="5"/>
      <c r="L47" s="5"/>
      <c r="M47" s="5"/>
      <c r="N47" s="5"/>
      <c r="AJ47" t="s">
        <v>129</v>
      </c>
    </row>
    <row r="48" spans="1:39" ht="18.75" customHeight="1">
      <c r="A48" s="5"/>
      <c r="B48" s="5"/>
      <c r="C48" s="5"/>
      <c r="D48" s="5"/>
      <c r="E48" s="5"/>
      <c r="F48" s="24" t="s">
        <v>27</v>
      </c>
      <c r="G48" s="223"/>
      <c r="H48" s="223"/>
      <c r="I48" s="223"/>
      <c r="J48" s="223"/>
      <c r="K48" s="223"/>
      <c r="L48" s="223"/>
      <c r="M48" s="223"/>
      <c r="N48" s="223"/>
      <c r="O48" s="224" t="str">
        <f>IF(G48="","","NG・記入しないでください。")</f>
        <v/>
      </c>
      <c r="P48" s="225"/>
      <c r="Q48" s="225"/>
      <c r="R48" s="225"/>
      <c r="S48" s="225"/>
      <c r="T48" s="70"/>
      <c r="AJ48" t="s">
        <v>130</v>
      </c>
    </row>
    <row r="49" spans="1:36">
      <c r="AJ49" t="s">
        <v>131</v>
      </c>
    </row>
    <row r="50" spans="1:36">
      <c r="A50" s="1"/>
      <c r="AJ50" t="s">
        <v>135</v>
      </c>
    </row>
    <row r="51" spans="1:36">
      <c r="AJ51" t="s">
        <v>133</v>
      </c>
    </row>
    <row r="52" spans="1:36">
      <c r="AJ52" t="s">
        <v>136</v>
      </c>
    </row>
    <row r="53" spans="1:36">
      <c r="AJ53" t="s">
        <v>154</v>
      </c>
    </row>
  </sheetData>
  <sheetProtection selectLockedCells="1"/>
  <mergeCells count="70">
    <mergeCell ref="A46:N46"/>
    <mergeCell ref="G48:N48"/>
    <mergeCell ref="O48:S48"/>
    <mergeCell ref="O26:S26"/>
    <mergeCell ref="O28:S28"/>
    <mergeCell ref="O29:S29"/>
    <mergeCell ref="O31:S31"/>
    <mergeCell ref="O32:S32"/>
    <mergeCell ref="O33:S33"/>
    <mergeCell ref="O34:S34"/>
    <mergeCell ref="B37:N37"/>
    <mergeCell ref="O37:S37"/>
    <mergeCell ref="B38:N38"/>
    <mergeCell ref="O38:S38"/>
    <mergeCell ref="A41:N44"/>
    <mergeCell ref="B31:C31"/>
    <mergeCell ref="D31:D33"/>
    <mergeCell ref="B32:C32"/>
    <mergeCell ref="B33:C33"/>
    <mergeCell ref="B34:C34"/>
    <mergeCell ref="E34:N34"/>
    <mergeCell ref="O30:S30"/>
    <mergeCell ref="B26:C26"/>
    <mergeCell ref="E26:N26"/>
    <mergeCell ref="B27:C27"/>
    <mergeCell ref="E27:N27"/>
    <mergeCell ref="O27:S27"/>
    <mergeCell ref="H28:J29"/>
    <mergeCell ref="L28:N28"/>
    <mergeCell ref="L29:N29"/>
    <mergeCell ref="B30:C30"/>
    <mergeCell ref="E30:N30"/>
    <mergeCell ref="A28:A29"/>
    <mergeCell ref="B28:C29"/>
    <mergeCell ref="D28:D29"/>
    <mergeCell ref="E28:F29"/>
    <mergeCell ref="G28:G29"/>
    <mergeCell ref="B23:C23"/>
    <mergeCell ref="D23:D27"/>
    <mergeCell ref="E23:N23"/>
    <mergeCell ref="O23:S23"/>
    <mergeCell ref="B24:C24"/>
    <mergeCell ref="E24:N24"/>
    <mergeCell ref="O24:S24"/>
    <mergeCell ref="B25:C25"/>
    <mergeCell ref="E25:N25"/>
    <mergeCell ref="O25:S25"/>
    <mergeCell ref="B19:N19"/>
    <mergeCell ref="O19:S19"/>
    <mergeCell ref="B20:N20"/>
    <mergeCell ref="O20:S20"/>
    <mergeCell ref="A22:F22"/>
    <mergeCell ref="O22:S22"/>
    <mergeCell ref="B14:G14"/>
    <mergeCell ref="O14:S14"/>
    <mergeCell ref="B15:N15"/>
    <mergeCell ref="O15:S15"/>
    <mergeCell ref="A16:A18"/>
    <mergeCell ref="C16:F16"/>
    <mergeCell ref="O16:S18"/>
    <mergeCell ref="B17:N17"/>
    <mergeCell ref="B18:N18"/>
    <mergeCell ref="B13:G13"/>
    <mergeCell ref="O13:S13"/>
    <mergeCell ref="A1:D2"/>
    <mergeCell ref="F1:N2"/>
    <mergeCell ref="O4:S4"/>
    <mergeCell ref="A5:C5"/>
    <mergeCell ref="O5:S5"/>
    <mergeCell ref="H4:I4"/>
  </mergeCells>
  <phoneticPr fontId="2"/>
  <conditionalFormatting sqref="F1">
    <cfRule type="containsText" dxfId="7" priority="3" operator="containsText" text="提出不可">
      <formula>NOT(ISERROR(SEARCH("提出不可",F1)))</formula>
    </cfRule>
    <cfRule type="containsText" dxfId="6" priority="4" operator="containsText" text="提出可">
      <formula>NOT(ISERROR(SEARCH("提出可",F1)))</formula>
    </cfRule>
  </conditionalFormatting>
  <conditionalFormatting sqref="O35:T48 O34 O1:T33">
    <cfRule type="containsText" dxfId="5" priority="1" operator="containsText" text="必ず">
      <formula>NOT(ISERROR(SEARCH("必ず",O1)))</formula>
    </cfRule>
    <cfRule type="containsText" dxfId="4" priority="2" operator="containsText" text="OK">
      <formula>NOT(ISERROR(SEARCH("OK",O1)))</formula>
    </cfRule>
  </conditionalFormatting>
  <dataValidations count="5">
    <dataValidation type="list" allowBlank="1" showInputMessage="1" showErrorMessage="1" sqref="M4">
      <formula1>AM$13:AM$43</formula1>
    </dataValidation>
    <dataValidation type="list" allowBlank="1" showInputMessage="1" showErrorMessage="1" sqref="K4">
      <formula1>$AL$13:$AL$24</formula1>
    </dataValidation>
    <dataValidation type="list" allowBlank="1" showInputMessage="1" showErrorMessage="1" sqref="A5:C5">
      <formula1>$AJ$13:$AJ$53</formula1>
    </dataValidation>
    <dataValidation type="list" allowBlank="1" showInputMessage="1" showErrorMessage="1" sqref="A23:A34 G28:G29 K28:K29">
      <formula1>$AN$13:$AN$14</formula1>
    </dataValidation>
    <dataValidation type="list" allowBlank="1" showInputMessage="1" showErrorMessage="1" sqref="H4:I4">
      <formula1>$AK$13:$AK$17</formula1>
    </dataValidation>
  </dataValidations>
  <printOptions horizontalCentered="1"/>
  <pageMargins left="0.11811023622047245" right="0.11811023622047245" top="0.19685039370078741" bottom="0.19685039370078741" header="0.31496062992125984" footer="0.31496062992125984"/>
  <pageSetup paperSize="9" scale="85"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H28"/>
  <sheetViews>
    <sheetView workbookViewId="0"/>
  </sheetViews>
  <sheetFormatPr defaultRowHeight="13.5"/>
  <cols>
    <col min="1" max="1" width="2.875" style="14" customWidth="1"/>
    <col min="2" max="2" width="11.875" style="14" customWidth="1"/>
    <col min="3" max="3" width="9" style="14"/>
    <col min="4" max="4" width="7.25" style="14" customWidth="1"/>
    <col min="5" max="6" width="12.625" style="14" customWidth="1"/>
    <col min="7" max="7" width="11.5" style="14" customWidth="1"/>
    <col min="8" max="8" width="23.875" style="14" customWidth="1"/>
    <col min="9" max="256" width="9" style="14"/>
    <col min="257" max="257" width="2.875" style="14" customWidth="1"/>
    <col min="258" max="258" width="11.875" style="14" customWidth="1"/>
    <col min="259" max="259" width="9" style="14"/>
    <col min="260" max="260" width="7.25" style="14" customWidth="1"/>
    <col min="261" max="262" width="12.625" style="14" customWidth="1"/>
    <col min="263" max="263" width="11.5" style="14" customWidth="1"/>
    <col min="264" max="264" width="23.875" style="14" customWidth="1"/>
    <col min="265" max="512" width="9" style="14"/>
    <col min="513" max="513" width="2.875" style="14" customWidth="1"/>
    <col min="514" max="514" width="11.875" style="14" customWidth="1"/>
    <col min="515" max="515" width="9" style="14"/>
    <col min="516" max="516" width="7.25" style="14" customWidth="1"/>
    <col min="517" max="518" width="12.625" style="14" customWidth="1"/>
    <col min="519" max="519" width="11.5" style="14" customWidth="1"/>
    <col min="520" max="520" width="23.875" style="14" customWidth="1"/>
    <col min="521" max="768" width="9" style="14"/>
    <col min="769" max="769" width="2.875" style="14" customWidth="1"/>
    <col min="770" max="770" width="11.875" style="14" customWidth="1"/>
    <col min="771" max="771" width="9" style="14"/>
    <col min="772" max="772" width="7.25" style="14" customWidth="1"/>
    <col min="773" max="774" width="12.625" style="14" customWidth="1"/>
    <col min="775" max="775" width="11.5" style="14" customWidth="1"/>
    <col min="776" max="776" width="23.875" style="14" customWidth="1"/>
    <col min="777" max="1024" width="9" style="14"/>
    <col min="1025" max="1025" width="2.875" style="14" customWidth="1"/>
    <col min="1026" max="1026" width="11.875" style="14" customWidth="1"/>
    <col min="1027" max="1027" width="9" style="14"/>
    <col min="1028" max="1028" width="7.25" style="14" customWidth="1"/>
    <col min="1029" max="1030" width="12.625" style="14" customWidth="1"/>
    <col min="1031" max="1031" width="11.5" style="14" customWidth="1"/>
    <col min="1032" max="1032" width="23.875" style="14" customWidth="1"/>
    <col min="1033" max="1280" width="9" style="14"/>
    <col min="1281" max="1281" width="2.875" style="14" customWidth="1"/>
    <col min="1282" max="1282" width="11.875" style="14" customWidth="1"/>
    <col min="1283" max="1283" width="9" style="14"/>
    <col min="1284" max="1284" width="7.25" style="14" customWidth="1"/>
    <col min="1285" max="1286" width="12.625" style="14" customWidth="1"/>
    <col min="1287" max="1287" width="11.5" style="14" customWidth="1"/>
    <col min="1288" max="1288" width="23.875" style="14" customWidth="1"/>
    <col min="1289" max="1536" width="9" style="14"/>
    <col min="1537" max="1537" width="2.875" style="14" customWidth="1"/>
    <col min="1538" max="1538" width="11.875" style="14" customWidth="1"/>
    <col min="1539" max="1539" width="9" style="14"/>
    <col min="1540" max="1540" width="7.25" style="14" customWidth="1"/>
    <col min="1541" max="1542" width="12.625" style="14" customWidth="1"/>
    <col min="1543" max="1543" width="11.5" style="14" customWidth="1"/>
    <col min="1544" max="1544" width="23.875" style="14" customWidth="1"/>
    <col min="1545" max="1792" width="9" style="14"/>
    <col min="1793" max="1793" width="2.875" style="14" customWidth="1"/>
    <col min="1794" max="1794" width="11.875" style="14" customWidth="1"/>
    <col min="1795" max="1795" width="9" style="14"/>
    <col min="1796" max="1796" width="7.25" style="14" customWidth="1"/>
    <col min="1797" max="1798" width="12.625" style="14" customWidth="1"/>
    <col min="1799" max="1799" width="11.5" style="14" customWidth="1"/>
    <col min="1800" max="1800" width="23.875" style="14" customWidth="1"/>
    <col min="1801" max="2048" width="9" style="14"/>
    <col min="2049" max="2049" width="2.875" style="14" customWidth="1"/>
    <col min="2050" max="2050" width="11.875" style="14" customWidth="1"/>
    <col min="2051" max="2051" width="9" style="14"/>
    <col min="2052" max="2052" width="7.25" style="14" customWidth="1"/>
    <col min="2053" max="2054" width="12.625" style="14" customWidth="1"/>
    <col min="2055" max="2055" width="11.5" style="14" customWidth="1"/>
    <col min="2056" max="2056" width="23.875" style="14" customWidth="1"/>
    <col min="2057" max="2304" width="9" style="14"/>
    <col min="2305" max="2305" width="2.875" style="14" customWidth="1"/>
    <col min="2306" max="2306" width="11.875" style="14" customWidth="1"/>
    <col min="2307" max="2307" width="9" style="14"/>
    <col min="2308" max="2308" width="7.25" style="14" customWidth="1"/>
    <col min="2309" max="2310" width="12.625" style="14" customWidth="1"/>
    <col min="2311" max="2311" width="11.5" style="14" customWidth="1"/>
    <col min="2312" max="2312" width="23.875" style="14" customWidth="1"/>
    <col min="2313" max="2560" width="9" style="14"/>
    <col min="2561" max="2561" width="2.875" style="14" customWidth="1"/>
    <col min="2562" max="2562" width="11.875" style="14" customWidth="1"/>
    <col min="2563" max="2563" width="9" style="14"/>
    <col min="2564" max="2564" width="7.25" style="14" customWidth="1"/>
    <col min="2565" max="2566" width="12.625" style="14" customWidth="1"/>
    <col min="2567" max="2567" width="11.5" style="14" customWidth="1"/>
    <col min="2568" max="2568" width="23.875" style="14" customWidth="1"/>
    <col min="2569" max="2816" width="9" style="14"/>
    <col min="2817" max="2817" width="2.875" style="14" customWidth="1"/>
    <col min="2818" max="2818" width="11.875" style="14" customWidth="1"/>
    <col min="2819" max="2819" width="9" style="14"/>
    <col min="2820" max="2820" width="7.25" style="14" customWidth="1"/>
    <col min="2821" max="2822" width="12.625" style="14" customWidth="1"/>
    <col min="2823" max="2823" width="11.5" style="14" customWidth="1"/>
    <col min="2824" max="2824" width="23.875" style="14" customWidth="1"/>
    <col min="2825" max="3072" width="9" style="14"/>
    <col min="3073" max="3073" width="2.875" style="14" customWidth="1"/>
    <col min="3074" max="3074" width="11.875" style="14" customWidth="1"/>
    <col min="3075" max="3075" width="9" style="14"/>
    <col min="3076" max="3076" width="7.25" style="14" customWidth="1"/>
    <col min="3077" max="3078" width="12.625" style="14" customWidth="1"/>
    <col min="3079" max="3079" width="11.5" style="14" customWidth="1"/>
    <col min="3080" max="3080" width="23.875" style="14" customWidth="1"/>
    <col min="3081" max="3328" width="9" style="14"/>
    <col min="3329" max="3329" width="2.875" style="14" customWidth="1"/>
    <col min="3330" max="3330" width="11.875" style="14" customWidth="1"/>
    <col min="3331" max="3331" width="9" style="14"/>
    <col min="3332" max="3332" width="7.25" style="14" customWidth="1"/>
    <col min="3333" max="3334" width="12.625" style="14" customWidth="1"/>
    <col min="3335" max="3335" width="11.5" style="14" customWidth="1"/>
    <col min="3336" max="3336" width="23.875" style="14" customWidth="1"/>
    <col min="3337" max="3584" width="9" style="14"/>
    <col min="3585" max="3585" width="2.875" style="14" customWidth="1"/>
    <col min="3586" max="3586" width="11.875" style="14" customWidth="1"/>
    <col min="3587" max="3587" width="9" style="14"/>
    <col min="3588" max="3588" width="7.25" style="14" customWidth="1"/>
    <col min="3589" max="3590" width="12.625" style="14" customWidth="1"/>
    <col min="3591" max="3591" width="11.5" style="14" customWidth="1"/>
    <col min="3592" max="3592" width="23.875" style="14" customWidth="1"/>
    <col min="3593" max="3840" width="9" style="14"/>
    <col min="3841" max="3841" width="2.875" style="14" customWidth="1"/>
    <col min="3842" max="3842" width="11.875" style="14" customWidth="1"/>
    <col min="3843" max="3843" width="9" style="14"/>
    <col min="3844" max="3844" width="7.25" style="14" customWidth="1"/>
    <col min="3845" max="3846" width="12.625" style="14" customWidth="1"/>
    <col min="3847" max="3847" width="11.5" style="14" customWidth="1"/>
    <col min="3848" max="3848" width="23.875" style="14" customWidth="1"/>
    <col min="3849" max="4096" width="9" style="14"/>
    <col min="4097" max="4097" width="2.875" style="14" customWidth="1"/>
    <col min="4098" max="4098" width="11.875" style="14" customWidth="1"/>
    <col min="4099" max="4099" width="9" style="14"/>
    <col min="4100" max="4100" width="7.25" style="14" customWidth="1"/>
    <col min="4101" max="4102" width="12.625" style="14" customWidth="1"/>
    <col min="4103" max="4103" width="11.5" style="14" customWidth="1"/>
    <col min="4104" max="4104" width="23.875" style="14" customWidth="1"/>
    <col min="4105" max="4352" width="9" style="14"/>
    <col min="4353" max="4353" width="2.875" style="14" customWidth="1"/>
    <col min="4354" max="4354" width="11.875" style="14" customWidth="1"/>
    <col min="4355" max="4355" width="9" style="14"/>
    <col min="4356" max="4356" width="7.25" style="14" customWidth="1"/>
    <col min="4357" max="4358" width="12.625" style="14" customWidth="1"/>
    <col min="4359" max="4359" width="11.5" style="14" customWidth="1"/>
    <col min="4360" max="4360" width="23.875" style="14" customWidth="1"/>
    <col min="4361" max="4608" width="9" style="14"/>
    <col min="4609" max="4609" width="2.875" style="14" customWidth="1"/>
    <col min="4610" max="4610" width="11.875" style="14" customWidth="1"/>
    <col min="4611" max="4611" width="9" style="14"/>
    <col min="4612" max="4612" width="7.25" style="14" customWidth="1"/>
    <col min="4613" max="4614" width="12.625" style="14" customWidth="1"/>
    <col min="4615" max="4615" width="11.5" style="14" customWidth="1"/>
    <col min="4616" max="4616" width="23.875" style="14" customWidth="1"/>
    <col min="4617" max="4864" width="9" style="14"/>
    <col min="4865" max="4865" width="2.875" style="14" customWidth="1"/>
    <col min="4866" max="4866" width="11.875" style="14" customWidth="1"/>
    <col min="4867" max="4867" width="9" style="14"/>
    <col min="4868" max="4868" width="7.25" style="14" customWidth="1"/>
    <col min="4869" max="4870" width="12.625" style="14" customWidth="1"/>
    <col min="4871" max="4871" width="11.5" style="14" customWidth="1"/>
    <col min="4872" max="4872" width="23.875" style="14" customWidth="1"/>
    <col min="4873" max="5120" width="9" style="14"/>
    <col min="5121" max="5121" width="2.875" style="14" customWidth="1"/>
    <col min="5122" max="5122" width="11.875" style="14" customWidth="1"/>
    <col min="5123" max="5123" width="9" style="14"/>
    <col min="5124" max="5124" width="7.25" style="14" customWidth="1"/>
    <col min="5125" max="5126" width="12.625" style="14" customWidth="1"/>
    <col min="5127" max="5127" width="11.5" style="14" customWidth="1"/>
    <col min="5128" max="5128" width="23.875" style="14" customWidth="1"/>
    <col min="5129" max="5376" width="9" style="14"/>
    <col min="5377" max="5377" width="2.875" style="14" customWidth="1"/>
    <col min="5378" max="5378" width="11.875" style="14" customWidth="1"/>
    <col min="5379" max="5379" width="9" style="14"/>
    <col min="5380" max="5380" width="7.25" style="14" customWidth="1"/>
    <col min="5381" max="5382" width="12.625" style="14" customWidth="1"/>
    <col min="5383" max="5383" width="11.5" style="14" customWidth="1"/>
    <col min="5384" max="5384" width="23.875" style="14" customWidth="1"/>
    <col min="5385" max="5632" width="9" style="14"/>
    <col min="5633" max="5633" width="2.875" style="14" customWidth="1"/>
    <col min="5634" max="5634" width="11.875" style="14" customWidth="1"/>
    <col min="5635" max="5635" width="9" style="14"/>
    <col min="5636" max="5636" width="7.25" style="14" customWidth="1"/>
    <col min="5637" max="5638" width="12.625" style="14" customWidth="1"/>
    <col min="5639" max="5639" width="11.5" style="14" customWidth="1"/>
    <col min="5640" max="5640" width="23.875" style="14" customWidth="1"/>
    <col min="5641" max="5888" width="9" style="14"/>
    <col min="5889" max="5889" width="2.875" style="14" customWidth="1"/>
    <col min="5890" max="5890" width="11.875" style="14" customWidth="1"/>
    <col min="5891" max="5891" width="9" style="14"/>
    <col min="5892" max="5892" width="7.25" style="14" customWidth="1"/>
    <col min="5893" max="5894" width="12.625" style="14" customWidth="1"/>
    <col min="5895" max="5895" width="11.5" style="14" customWidth="1"/>
    <col min="5896" max="5896" width="23.875" style="14" customWidth="1"/>
    <col min="5897" max="6144" width="9" style="14"/>
    <col min="6145" max="6145" width="2.875" style="14" customWidth="1"/>
    <col min="6146" max="6146" width="11.875" style="14" customWidth="1"/>
    <col min="6147" max="6147" width="9" style="14"/>
    <col min="6148" max="6148" width="7.25" style="14" customWidth="1"/>
    <col min="6149" max="6150" width="12.625" style="14" customWidth="1"/>
    <col min="6151" max="6151" width="11.5" style="14" customWidth="1"/>
    <col min="6152" max="6152" width="23.875" style="14" customWidth="1"/>
    <col min="6153" max="6400" width="9" style="14"/>
    <col min="6401" max="6401" width="2.875" style="14" customWidth="1"/>
    <col min="6402" max="6402" width="11.875" style="14" customWidth="1"/>
    <col min="6403" max="6403" width="9" style="14"/>
    <col min="6404" max="6404" width="7.25" style="14" customWidth="1"/>
    <col min="6405" max="6406" width="12.625" style="14" customWidth="1"/>
    <col min="6407" max="6407" width="11.5" style="14" customWidth="1"/>
    <col min="6408" max="6408" width="23.875" style="14" customWidth="1"/>
    <col min="6409" max="6656" width="9" style="14"/>
    <col min="6657" max="6657" width="2.875" style="14" customWidth="1"/>
    <col min="6658" max="6658" width="11.875" style="14" customWidth="1"/>
    <col min="6659" max="6659" width="9" style="14"/>
    <col min="6660" max="6660" width="7.25" style="14" customWidth="1"/>
    <col min="6661" max="6662" width="12.625" style="14" customWidth="1"/>
    <col min="6663" max="6663" width="11.5" style="14" customWidth="1"/>
    <col min="6664" max="6664" width="23.875" style="14" customWidth="1"/>
    <col min="6665" max="6912" width="9" style="14"/>
    <col min="6913" max="6913" width="2.875" style="14" customWidth="1"/>
    <col min="6914" max="6914" width="11.875" style="14" customWidth="1"/>
    <col min="6915" max="6915" width="9" style="14"/>
    <col min="6916" max="6916" width="7.25" style="14" customWidth="1"/>
    <col min="6917" max="6918" width="12.625" style="14" customWidth="1"/>
    <col min="6919" max="6919" width="11.5" style="14" customWidth="1"/>
    <col min="6920" max="6920" width="23.875" style="14" customWidth="1"/>
    <col min="6921" max="7168" width="9" style="14"/>
    <col min="7169" max="7169" width="2.875" style="14" customWidth="1"/>
    <col min="7170" max="7170" width="11.875" style="14" customWidth="1"/>
    <col min="7171" max="7171" width="9" style="14"/>
    <col min="7172" max="7172" width="7.25" style="14" customWidth="1"/>
    <col min="7173" max="7174" width="12.625" style="14" customWidth="1"/>
    <col min="7175" max="7175" width="11.5" style="14" customWidth="1"/>
    <col min="7176" max="7176" width="23.875" style="14" customWidth="1"/>
    <col min="7177" max="7424" width="9" style="14"/>
    <col min="7425" max="7425" width="2.875" style="14" customWidth="1"/>
    <col min="7426" max="7426" width="11.875" style="14" customWidth="1"/>
    <col min="7427" max="7427" width="9" style="14"/>
    <col min="7428" max="7428" width="7.25" style="14" customWidth="1"/>
    <col min="7429" max="7430" width="12.625" style="14" customWidth="1"/>
    <col min="7431" max="7431" width="11.5" style="14" customWidth="1"/>
    <col min="7432" max="7432" width="23.875" style="14" customWidth="1"/>
    <col min="7433" max="7680" width="9" style="14"/>
    <col min="7681" max="7681" width="2.875" style="14" customWidth="1"/>
    <col min="7682" max="7682" width="11.875" style="14" customWidth="1"/>
    <col min="7683" max="7683" width="9" style="14"/>
    <col min="7684" max="7684" width="7.25" style="14" customWidth="1"/>
    <col min="7685" max="7686" width="12.625" style="14" customWidth="1"/>
    <col min="7687" max="7687" width="11.5" style="14" customWidth="1"/>
    <col min="7688" max="7688" width="23.875" style="14" customWidth="1"/>
    <col min="7689" max="7936" width="9" style="14"/>
    <col min="7937" max="7937" width="2.875" style="14" customWidth="1"/>
    <col min="7938" max="7938" width="11.875" style="14" customWidth="1"/>
    <col min="7939" max="7939" width="9" style="14"/>
    <col min="7940" max="7940" width="7.25" style="14" customWidth="1"/>
    <col min="7941" max="7942" width="12.625" style="14" customWidth="1"/>
    <col min="7943" max="7943" width="11.5" style="14" customWidth="1"/>
    <col min="7944" max="7944" width="23.875" style="14" customWidth="1"/>
    <col min="7945" max="8192" width="9" style="14"/>
    <col min="8193" max="8193" width="2.875" style="14" customWidth="1"/>
    <col min="8194" max="8194" width="11.875" style="14" customWidth="1"/>
    <col min="8195" max="8195" width="9" style="14"/>
    <col min="8196" max="8196" width="7.25" style="14" customWidth="1"/>
    <col min="8197" max="8198" width="12.625" style="14" customWidth="1"/>
    <col min="8199" max="8199" width="11.5" style="14" customWidth="1"/>
    <col min="8200" max="8200" width="23.875" style="14" customWidth="1"/>
    <col min="8201" max="8448" width="9" style="14"/>
    <col min="8449" max="8449" width="2.875" style="14" customWidth="1"/>
    <col min="8450" max="8450" width="11.875" style="14" customWidth="1"/>
    <col min="8451" max="8451" width="9" style="14"/>
    <col min="8452" max="8452" width="7.25" style="14" customWidth="1"/>
    <col min="8453" max="8454" width="12.625" style="14" customWidth="1"/>
    <col min="8455" max="8455" width="11.5" style="14" customWidth="1"/>
    <col min="8456" max="8456" width="23.875" style="14" customWidth="1"/>
    <col min="8457" max="8704" width="9" style="14"/>
    <col min="8705" max="8705" width="2.875" style="14" customWidth="1"/>
    <col min="8706" max="8706" width="11.875" style="14" customWidth="1"/>
    <col min="8707" max="8707" width="9" style="14"/>
    <col min="8708" max="8708" width="7.25" style="14" customWidth="1"/>
    <col min="8709" max="8710" width="12.625" style="14" customWidth="1"/>
    <col min="8711" max="8711" width="11.5" style="14" customWidth="1"/>
    <col min="8712" max="8712" width="23.875" style="14" customWidth="1"/>
    <col min="8713" max="8960" width="9" style="14"/>
    <col min="8961" max="8961" width="2.875" style="14" customWidth="1"/>
    <col min="8962" max="8962" width="11.875" style="14" customWidth="1"/>
    <col min="8963" max="8963" width="9" style="14"/>
    <col min="8964" max="8964" width="7.25" style="14" customWidth="1"/>
    <col min="8965" max="8966" width="12.625" style="14" customWidth="1"/>
    <col min="8967" max="8967" width="11.5" style="14" customWidth="1"/>
    <col min="8968" max="8968" width="23.875" style="14" customWidth="1"/>
    <col min="8969" max="9216" width="9" style="14"/>
    <col min="9217" max="9217" width="2.875" style="14" customWidth="1"/>
    <col min="9218" max="9218" width="11.875" style="14" customWidth="1"/>
    <col min="9219" max="9219" width="9" style="14"/>
    <col min="9220" max="9220" width="7.25" style="14" customWidth="1"/>
    <col min="9221" max="9222" width="12.625" style="14" customWidth="1"/>
    <col min="9223" max="9223" width="11.5" style="14" customWidth="1"/>
    <col min="9224" max="9224" width="23.875" style="14" customWidth="1"/>
    <col min="9225" max="9472" width="9" style="14"/>
    <col min="9473" max="9473" width="2.875" style="14" customWidth="1"/>
    <col min="9474" max="9474" width="11.875" style="14" customWidth="1"/>
    <col min="9475" max="9475" width="9" style="14"/>
    <col min="9476" max="9476" width="7.25" style="14" customWidth="1"/>
    <col min="9477" max="9478" width="12.625" style="14" customWidth="1"/>
    <col min="9479" max="9479" width="11.5" style="14" customWidth="1"/>
    <col min="9480" max="9480" width="23.875" style="14" customWidth="1"/>
    <col min="9481" max="9728" width="9" style="14"/>
    <col min="9729" max="9729" width="2.875" style="14" customWidth="1"/>
    <col min="9730" max="9730" width="11.875" style="14" customWidth="1"/>
    <col min="9731" max="9731" width="9" style="14"/>
    <col min="9732" max="9732" width="7.25" style="14" customWidth="1"/>
    <col min="9733" max="9734" width="12.625" style="14" customWidth="1"/>
    <col min="9735" max="9735" width="11.5" style="14" customWidth="1"/>
    <col min="9736" max="9736" width="23.875" style="14" customWidth="1"/>
    <col min="9737" max="9984" width="9" style="14"/>
    <col min="9985" max="9985" width="2.875" style="14" customWidth="1"/>
    <col min="9986" max="9986" width="11.875" style="14" customWidth="1"/>
    <col min="9987" max="9987" width="9" style="14"/>
    <col min="9988" max="9988" width="7.25" style="14" customWidth="1"/>
    <col min="9989" max="9990" width="12.625" style="14" customWidth="1"/>
    <col min="9991" max="9991" width="11.5" style="14" customWidth="1"/>
    <col min="9992" max="9992" width="23.875" style="14" customWidth="1"/>
    <col min="9993" max="10240" width="9" style="14"/>
    <col min="10241" max="10241" width="2.875" style="14" customWidth="1"/>
    <col min="10242" max="10242" width="11.875" style="14" customWidth="1"/>
    <col min="10243" max="10243" width="9" style="14"/>
    <col min="10244" max="10244" width="7.25" style="14" customWidth="1"/>
    <col min="10245" max="10246" width="12.625" style="14" customWidth="1"/>
    <col min="10247" max="10247" width="11.5" style="14" customWidth="1"/>
    <col min="10248" max="10248" width="23.875" style="14" customWidth="1"/>
    <col min="10249" max="10496" width="9" style="14"/>
    <col min="10497" max="10497" width="2.875" style="14" customWidth="1"/>
    <col min="10498" max="10498" width="11.875" style="14" customWidth="1"/>
    <col min="10499" max="10499" width="9" style="14"/>
    <col min="10500" max="10500" width="7.25" style="14" customWidth="1"/>
    <col min="10501" max="10502" width="12.625" style="14" customWidth="1"/>
    <col min="10503" max="10503" width="11.5" style="14" customWidth="1"/>
    <col min="10504" max="10504" width="23.875" style="14" customWidth="1"/>
    <col min="10505" max="10752" width="9" style="14"/>
    <col min="10753" max="10753" width="2.875" style="14" customWidth="1"/>
    <col min="10754" max="10754" width="11.875" style="14" customWidth="1"/>
    <col min="10755" max="10755" width="9" style="14"/>
    <col min="10756" max="10756" width="7.25" style="14" customWidth="1"/>
    <col min="10757" max="10758" width="12.625" style="14" customWidth="1"/>
    <col min="10759" max="10759" width="11.5" style="14" customWidth="1"/>
    <col min="10760" max="10760" width="23.875" style="14" customWidth="1"/>
    <col min="10761" max="11008" width="9" style="14"/>
    <col min="11009" max="11009" width="2.875" style="14" customWidth="1"/>
    <col min="11010" max="11010" width="11.875" style="14" customWidth="1"/>
    <col min="11011" max="11011" width="9" style="14"/>
    <col min="11012" max="11012" width="7.25" style="14" customWidth="1"/>
    <col min="11013" max="11014" width="12.625" style="14" customWidth="1"/>
    <col min="11015" max="11015" width="11.5" style="14" customWidth="1"/>
    <col min="11016" max="11016" width="23.875" style="14" customWidth="1"/>
    <col min="11017" max="11264" width="9" style="14"/>
    <col min="11265" max="11265" width="2.875" style="14" customWidth="1"/>
    <col min="11266" max="11266" width="11.875" style="14" customWidth="1"/>
    <col min="11267" max="11267" width="9" style="14"/>
    <col min="11268" max="11268" width="7.25" style="14" customWidth="1"/>
    <col min="11269" max="11270" width="12.625" style="14" customWidth="1"/>
    <col min="11271" max="11271" width="11.5" style="14" customWidth="1"/>
    <col min="11272" max="11272" width="23.875" style="14" customWidth="1"/>
    <col min="11273" max="11520" width="9" style="14"/>
    <col min="11521" max="11521" width="2.875" style="14" customWidth="1"/>
    <col min="11522" max="11522" width="11.875" style="14" customWidth="1"/>
    <col min="11523" max="11523" width="9" style="14"/>
    <col min="11524" max="11524" width="7.25" style="14" customWidth="1"/>
    <col min="11525" max="11526" width="12.625" style="14" customWidth="1"/>
    <col min="11527" max="11527" width="11.5" style="14" customWidth="1"/>
    <col min="11528" max="11528" width="23.875" style="14" customWidth="1"/>
    <col min="11529" max="11776" width="9" style="14"/>
    <col min="11777" max="11777" width="2.875" style="14" customWidth="1"/>
    <col min="11778" max="11778" width="11.875" style="14" customWidth="1"/>
    <col min="11779" max="11779" width="9" style="14"/>
    <col min="11780" max="11780" width="7.25" style="14" customWidth="1"/>
    <col min="11781" max="11782" width="12.625" style="14" customWidth="1"/>
    <col min="11783" max="11783" width="11.5" style="14" customWidth="1"/>
    <col min="11784" max="11784" width="23.875" style="14" customWidth="1"/>
    <col min="11785" max="12032" width="9" style="14"/>
    <col min="12033" max="12033" width="2.875" style="14" customWidth="1"/>
    <col min="12034" max="12034" width="11.875" style="14" customWidth="1"/>
    <col min="12035" max="12035" width="9" style="14"/>
    <col min="12036" max="12036" width="7.25" style="14" customWidth="1"/>
    <col min="12037" max="12038" width="12.625" style="14" customWidth="1"/>
    <col min="12039" max="12039" width="11.5" style="14" customWidth="1"/>
    <col min="12040" max="12040" width="23.875" style="14" customWidth="1"/>
    <col min="12041" max="12288" width="9" style="14"/>
    <col min="12289" max="12289" width="2.875" style="14" customWidth="1"/>
    <col min="12290" max="12290" width="11.875" style="14" customWidth="1"/>
    <col min="12291" max="12291" width="9" style="14"/>
    <col min="12292" max="12292" width="7.25" style="14" customWidth="1"/>
    <col min="12293" max="12294" width="12.625" style="14" customWidth="1"/>
    <col min="12295" max="12295" width="11.5" style="14" customWidth="1"/>
    <col min="12296" max="12296" width="23.875" style="14" customWidth="1"/>
    <col min="12297" max="12544" width="9" style="14"/>
    <col min="12545" max="12545" width="2.875" style="14" customWidth="1"/>
    <col min="12546" max="12546" width="11.875" style="14" customWidth="1"/>
    <col min="12547" max="12547" width="9" style="14"/>
    <col min="12548" max="12548" width="7.25" style="14" customWidth="1"/>
    <col min="12549" max="12550" width="12.625" style="14" customWidth="1"/>
    <col min="12551" max="12551" width="11.5" style="14" customWidth="1"/>
    <col min="12552" max="12552" width="23.875" style="14" customWidth="1"/>
    <col min="12553" max="12800" width="9" style="14"/>
    <col min="12801" max="12801" width="2.875" style="14" customWidth="1"/>
    <col min="12802" max="12802" width="11.875" style="14" customWidth="1"/>
    <col min="12803" max="12803" width="9" style="14"/>
    <col min="12804" max="12804" width="7.25" style="14" customWidth="1"/>
    <col min="12805" max="12806" width="12.625" style="14" customWidth="1"/>
    <col min="12807" max="12807" width="11.5" style="14" customWidth="1"/>
    <col min="12808" max="12808" width="23.875" style="14" customWidth="1"/>
    <col min="12809" max="13056" width="9" style="14"/>
    <col min="13057" max="13057" width="2.875" style="14" customWidth="1"/>
    <col min="13058" max="13058" width="11.875" style="14" customWidth="1"/>
    <col min="13059" max="13059" width="9" style="14"/>
    <col min="13060" max="13060" width="7.25" style="14" customWidth="1"/>
    <col min="13061" max="13062" width="12.625" style="14" customWidth="1"/>
    <col min="13063" max="13063" width="11.5" style="14" customWidth="1"/>
    <col min="13064" max="13064" width="23.875" style="14" customWidth="1"/>
    <col min="13065" max="13312" width="9" style="14"/>
    <col min="13313" max="13313" width="2.875" style="14" customWidth="1"/>
    <col min="13314" max="13314" width="11.875" style="14" customWidth="1"/>
    <col min="13315" max="13315" width="9" style="14"/>
    <col min="13316" max="13316" width="7.25" style="14" customWidth="1"/>
    <col min="13317" max="13318" width="12.625" style="14" customWidth="1"/>
    <col min="13319" max="13319" width="11.5" style="14" customWidth="1"/>
    <col min="13320" max="13320" width="23.875" style="14" customWidth="1"/>
    <col min="13321" max="13568" width="9" style="14"/>
    <col min="13569" max="13569" width="2.875" style="14" customWidth="1"/>
    <col min="13570" max="13570" width="11.875" style="14" customWidth="1"/>
    <col min="13571" max="13571" width="9" style="14"/>
    <col min="13572" max="13572" width="7.25" style="14" customWidth="1"/>
    <col min="13573" max="13574" width="12.625" style="14" customWidth="1"/>
    <col min="13575" max="13575" width="11.5" style="14" customWidth="1"/>
    <col min="13576" max="13576" width="23.875" style="14" customWidth="1"/>
    <col min="13577" max="13824" width="9" style="14"/>
    <col min="13825" max="13825" width="2.875" style="14" customWidth="1"/>
    <col min="13826" max="13826" width="11.875" style="14" customWidth="1"/>
    <col min="13827" max="13827" width="9" style="14"/>
    <col min="13828" max="13828" width="7.25" style="14" customWidth="1"/>
    <col min="13829" max="13830" width="12.625" style="14" customWidth="1"/>
    <col min="13831" max="13831" width="11.5" style="14" customWidth="1"/>
    <col min="13832" max="13832" width="23.875" style="14" customWidth="1"/>
    <col min="13833" max="14080" width="9" style="14"/>
    <col min="14081" max="14081" width="2.875" style="14" customWidth="1"/>
    <col min="14082" max="14082" width="11.875" style="14" customWidth="1"/>
    <col min="14083" max="14083" width="9" style="14"/>
    <col min="14084" max="14084" width="7.25" style="14" customWidth="1"/>
    <col min="14085" max="14086" width="12.625" style="14" customWidth="1"/>
    <col min="14087" max="14087" width="11.5" style="14" customWidth="1"/>
    <col min="14088" max="14088" width="23.875" style="14" customWidth="1"/>
    <col min="14089" max="14336" width="9" style="14"/>
    <col min="14337" max="14337" width="2.875" style="14" customWidth="1"/>
    <col min="14338" max="14338" width="11.875" style="14" customWidth="1"/>
    <col min="14339" max="14339" width="9" style="14"/>
    <col min="14340" max="14340" width="7.25" style="14" customWidth="1"/>
    <col min="14341" max="14342" width="12.625" style="14" customWidth="1"/>
    <col min="14343" max="14343" width="11.5" style="14" customWidth="1"/>
    <col min="14344" max="14344" width="23.875" style="14" customWidth="1"/>
    <col min="14345" max="14592" width="9" style="14"/>
    <col min="14593" max="14593" width="2.875" style="14" customWidth="1"/>
    <col min="14594" max="14594" width="11.875" style="14" customWidth="1"/>
    <col min="14595" max="14595" width="9" style="14"/>
    <col min="14596" max="14596" width="7.25" style="14" customWidth="1"/>
    <col min="14597" max="14598" width="12.625" style="14" customWidth="1"/>
    <col min="14599" max="14599" width="11.5" style="14" customWidth="1"/>
    <col min="14600" max="14600" width="23.875" style="14" customWidth="1"/>
    <col min="14601" max="14848" width="9" style="14"/>
    <col min="14849" max="14849" width="2.875" style="14" customWidth="1"/>
    <col min="14850" max="14850" width="11.875" style="14" customWidth="1"/>
    <col min="14851" max="14851" width="9" style="14"/>
    <col min="14852" max="14852" width="7.25" style="14" customWidth="1"/>
    <col min="14853" max="14854" width="12.625" style="14" customWidth="1"/>
    <col min="14855" max="14855" width="11.5" style="14" customWidth="1"/>
    <col min="14856" max="14856" width="23.875" style="14" customWidth="1"/>
    <col min="14857" max="15104" width="9" style="14"/>
    <col min="15105" max="15105" width="2.875" style="14" customWidth="1"/>
    <col min="15106" max="15106" width="11.875" style="14" customWidth="1"/>
    <col min="15107" max="15107" width="9" style="14"/>
    <col min="15108" max="15108" width="7.25" style="14" customWidth="1"/>
    <col min="15109" max="15110" width="12.625" style="14" customWidth="1"/>
    <col min="15111" max="15111" width="11.5" style="14" customWidth="1"/>
    <col min="15112" max="15112" width="23.875" style="14" customWidth="1"/>
    <col min="15113" max="15360" width="9" style="14"/>
    <col min="15361" max="15361" width="2.875" style="14" customWidth="1"/>
    <col min="15362" max="15362" width="11.875" style="14" customWidth="1"/>
    <col min="15363" max="15363" width="9" style="14"/>
    <col min="15364" max="15364" width="7.25" style="14" customWidth="1"/>
    <col min="15365" max="15366" width="12.625" style="14" customWidth="1"/>
    <col min="15367" max="15367" width="11.5" style="14" customWidth="1"/>
    <col min="15368" max="15368" width="23.875" style="14" customWidth="1"/>
    <col min="15369" max="15616" width="9" style="14"/>
    <col min="15617" max="15617" width="2.875" style="14" customWidth="1"/>
    <col min="15618" max="15618" width="11.875" style="14" customWidth="1"/>
    <col min="15619" max="15619" width="9" style="14"/>
    <col min="15620" max="15620" width="7.25" style="14" customWidth="1"/>
    <col min="15621" max="15622" width="12.625" style="14" customWidth="1"/>
    <col min="15623" max="15623" width="11.5" style="14" customWidth="1"/>
    <col min="15624" max="15624" width="23.875" style="14" customWidth="1"/>
    <col min="15625" max="15872" width="9" style="14"/>
    <col min="15873" max="15873" width="2.875" style="14" customWidth="1"/>
    <col min="15874" max="15874" width="11.875" style="14" customWidth="1"/>
    <col min="15875" max="15875" width="9" style="14"/>
    <col min="15876" max="15876" width="7.25" style="14" customWidth="1"/>
    <col min="15877" max="15878" width="12.625" style="14" customWidth="1"/>
    <col min="15879" max="15879" width="11.5" style="14" customWidth="1"/>
    <col min="15880" max="15880" width="23.875" style="14" customWidth="1"/>
    <col min="15881" max="16128" width="9" style="14"/>
    <col min="16129" max="16129" width="2.875" style="14" customWidth="1"/>
    <col min="16130" max="16130" width="11.875" style="14" customWidth="1"/>
    <col min="16131" max="16131" width="9" style="14"/>
    <col min="16132" max="16132" width="7.25" style="14" customWidth="1"/>
    <col min="16133" max="16134" width="12.625" style="14" customWidth="1"/>
    <col min="16135" max="16135" width="11.5" style="14" customWidth="1"/>
    <col min="16136" max="16136" width="23.875" style="14" customWidth="1"/>
    <col min="16137" max="16384" width="9" style="14"/>
  </cols>
  <sheetData>
    <row r="1" spans="1:8" s="9" customFormat="1">
      <c r="A1" s="8" t="s">
        <v>13</v>
      </c>
    </row>
    <row r="3" spans="1:8" s="10" customFormat="1" ht="14.25">
      <c r="A3" s="242" t="s">
        <v>14</v>
      </c>
      <c r="B3" s="242"/>
      <c r="C3" s="242"/>
      <c r="D3" s="242"/>
      <c r="E3" s="242"/>
      <c r="F3" s="242"/>
      <c r="G3" s="242"/>
      <c r="H3" s="242"/>
    </row>
    <row r="6" spans="1:8" s="11" customFormat="1" ht="26.25" customHeight="1">
      <c r="A6" s="241" t="s">
        <v>15</v>
      </c>
      <c r="B6" s="241"/>
      <c r="C6" s="241"/>
      <c r="D6" s="241"/>
      <c r="E6" s="241"/>
      <c r="F6" s="241"/>
      <c r="G6" s="241"/>
      <c r="H6" s="241"/>
    </row>
    <row r="7" spans="1:8" ht="13.5" customHeight="1">
      <c r="A7" s="12"/>
      <c r="B7" s="13"/>
      <c r="C7" s="13"/>
      <c r="D7" s="13"/>
      <c r="E7" s="13"/>
      <c r="F7" s="13"/>
      <c r="G7" s="13"/>
      <c r="H7" s="13"/>
    </row>
    <row r="8" spans="1:8" ht="13.5" customHeight="1"/>
    <row r="9" spans="1:8">
      <c r="A9" s="14" t="s">
        <v>16</v>
      </c>
    </row>
    <row r="11" spans="1:8" ht="82.5" customHeight="1">
      <c r="A11" s="241" t="s">
        <v>17</v>
      </c>
      <c r="B11" s="241"/>
      <c r="C11" s="241"/>
      <c r="D11" s="241"/>
      <c r="E11" s="241"/>
      <c r="F11" s="241"/>
      <c r="G11" s="241"/>
      <c r="H11" s="241"/>
    </row>
    <row r="14" spans="1:8">
      <c r="A14" s="14" t="s">
        <v>18</v>
      </c>
    </row>
    <row r="16" spans="1:8" ht="28.5" customHeight="1">
      <c r="A16" s="241" t="s">
        <v>19</v>
      </c>
      <c r="B16" s="241"/>
      <c r="C16" s="241"/>
      <c r="D16" s="241"/>
      <c r="E16" s="241"/>
      <c r="F16" s="241"/>
      <c r="G16" s="241"/>
      <c r="H16" s="241"/>
    </row>
    <row r="18" spans="1:8" ht="18" customHeight="1">
      <c r="B18" s="15" t="s">
        <v>20</v>
      </c>
      <c r="C18" s="16"/>
      <c r="D18" s="16"/>
      <c r="E18" s="17"/>
      <c r="F18" s="18"/>
    </row>
    <row r="19" spans="1:8" ht="11.25" customHeight="1">
      <c r="B19" s="19"/>
      <c r="C19" s="18"/>
      <c r="D19" s="18"/>
      <c r="E19" s="20"/>
      <c r="F19" s="18"/>
    </row>
    <row r="20" spans="1:8">
      <c r="B20" s="19" t="s">
        <v>21</v>
      </c>
      <c r="C20" s="18"/>
      <c r="D20" s="18"/>
      <c r="E20" s="20"/>
      <c r="F20" s="18"/>
    </row>
    <row r="21" spans="1:8">
      <c r="B21" s="19" t="s">
        <v>22</v>
      </c>
      <c r="C21" s="18"/>
      <c r="D21" s="18"/>
      <c r="E21" s="20"/>
      <c r="F21" s="18"/>
    </row>
    <row r="22" spans="1:8" ht="47.25" customHeight="1">
      <c r="B22" s="243" t="s">
        <v>23</v>
      </c>
      <c r="C22" s="244"/>
      <c r="D22" s="244"/>
      <c r="E22" s="245"/>
      <c r="F22" s="21"/>
    </row>
    <row r="23" spans="1:8" ht="12.75" customHeight="1">
      <c r="B23" s="21"/>
      <c r="C23" s="21"/>
      <c r="D23" s="21"/>
      <c r="E23" s="21"/>
      <c r="F23" s="21"/>
    </row>
    <row r="24" spans="1:8" ht="12.75" customHeight="1"/>
    <row r="25" spans="1:8">
      <c r="A25" s="14" t="s">
        <v>24</v>
      </c>
    </row>
    <row r="27" spans="1:8" ht="72" customHeight="1">
      <c r="A27" s="241" t="s">
        <v>25</v>
      </c>
      <c r="B27" s="241"/>
      <c r="C27" s="241"/>
      <c r="D27" s="241"/>
      <c r="E27" s="241"/>
      <c r="F27" s="241"/>
      <c r="G27" s="241"/>
      <c r="H27" s="241"/>
    </row>
    <row r="28" spans="1:8">
      <c r="B28" s="22" t="s">
        <v>26</v>
      </c>
      <c r="C28" s="22"/>
    </row>
  </sheetData>
  <sheetProtection selectLockedCells="1" selectUnlockedCells="1"/>
  <mergeCells count="6">
    <mergeCell ref="A27:H27"/>
    <mergeCell ref="A3:H3"/>
    <mergeCell ref="A6:H6"/>
    <mergeCell ref="A11:H11"/>
    <mergeCell ref="A16:H16"/>
    <mergeCell ref="B22:E22"/>
  </mergeCells>
  <phoneticPr fontId="2"/>
  <hyperlinks>
    <hyperlink ref="B28" r:id="rId1"/>
  </hyperlinks>
  <pageMargins left="0.62" right="0.44" top="0.69" bottom="0.51" header="0.34" footer="0.51200000000000001"/>
  <pageSetup paperSize="9" orientation="portrait" verticalDpi="0" r:id="rId2"/>
  <headerFooter alignWithMargins="0"/>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2</vt:i4>
      </vt:variant>
    </vt:vector>
  </HeadingPairs>
  <TitlesOfParts>
    <vt:vector size="6" baseType="lpstr">
      <vt:lpstr>基本情報（はじめに記入・選択してください）</vt:lpstr>
      <vt:lpstr>ナイス(株)</vt:lpstr>
      <vt:lpstr>テンプレート</vt:lpstr>
      <vt:lpstr>別紙</vt:lpstr>
      <vt:lpstr>テンプレート!Print_Area</vt:lpstr>
      <vt:lpstr>'ナイス(株)'!Print_Area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hishinumas</dc:creator>
  <cp:lastModifiedBy>武田 真行</cp:lastModifiedBy>
  <cp:lastPrinted>2016-05-12T06:02:27Z</cp:lastPrinted>
  <dcterms:created xsi:type="dcterms:W3CDTF">2014-10-09T05:30:08Z</dcterms:created>
  <dcterms:modified xsi:type="dcterms:W3CDTF">2017-03-03T07:20:14Z</dcterms:modified>
</cp:coreProperties>
</file>